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h\Desktop\Code\English_word\"/>
    </mc:Choice>
  </mc:AlternateContent>
  <xr:revisionPtr revIDLastSave="0" documentId="13_ncr:1_{26B89586-B269-4083-98AE-EED36E06BE20}" xr6:coauthVersionLast="47" xr6:coauthVersionMax="47" xr10:uidLastSave="{00000000-0000-0000-0000-000000000000}"/>
  <bookViews>
    <workbookView xWindow="-108" yWindow="-108" windowWidth="23256" windowHeight="12456" xr2:uid="{374DAD88-A01C-4036-B6AF-1C34CD303DA2}"/>
  </bookViews>
  <sheets>
    <sheet name="영어 단어장" sheetId="1" r:id="rId1"/>
    <sheet name="단어 시험장" sheetId="2" r:id="rId2"/>
    <sheet name="부사절 접속사 정리" sheetId="3" r:id="rId3"/>
    <sheet name="Sheet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6" i="1" l="1" a="1"/>
  <c r="H496" i="1" s="1"/>
  <c r="H497" i="1" a="1"/>
  <c r="H497" i="1" s="1"/>
  <c r="H498" i="1" a="1"/>
  <c r="H498" i="1" s="1"/>
  <c r="H499" i="1" a="1"/>
  <c r="H499" i="1" s="1"/>
  <c r="H500" i="1" a="1"/>
  <c r="H500" i="1" s="1"/>
  <c r="H501" i="1" a="1"/>
  <c r="H501" i="1" s="1"/>
  <c r="H502" i="1" a="1"/>
  <c r="H502" i="1" s="1"/>
  <c r="H503" i="1" a="1"/>
  <c r="H503" i="1" s="1"/>
  <c r="H504" i="1" a="1"/>
  <c r="H504" i="1" s="1"/>
  <c r="H505" i="1" a="1"/>
  <c r="H505" i="1" s="1"/>
  <c r="H506" i="1" a="1"/>
  <c r="H506" i="1" s="1"/>
  <c r="H507" i="1" a="1"/>
  <c r="H507" i="1" s="1"/>
  <c r="H508" i="1" a="1"/>
  <c r="H508" i="1" s="1"/>
  <c r="H509" i="1" a="1"/>
  <c r="H509" i="1" s="1"/>
  <c r="H510" i="1" a="1"/>
  <c r="H510" i="1" s="1"/>
  <c r="H511" i="1" a="1"/>
  <c r="H511" i="1" s="1"/>
  <c r="H512" i="1" a="1"/>
  <c r="H512" i="1" s="1"/>
  <c r="H513" i="1" a="1"/>
  <c r="H513" i="1" s="1"/>
  <c r="H514" i="1" a="1"/>
  <c r="H514" i="1" s="1"/>
  <c r="H515" i="1" a="1"/>
  <c r="H515" i="1" s="1"/>
  <c r="H516" i="1" a="1"/>
  <c r="H516" i="1" s="1"/>
  <c r="H517" i="1" a="1"/>
  <c r="H517" i="1" s="1"/>
  <c r="H518" i="1" a="1"/>
  <c r="H518" i="1" s="1"/>
  <c r="H519" i="1" a="1"/>
  <c r="H519" i="1" s="1"/>
  <c r="H520" i="1" a="1"/>
  <c r="H520" i="1" s="1"/>
  <c r="H521" i="1" a="1"/>
  <c r="H521" i="1" s="1"/>
  <c r="H522" i="1" a="1"/>
  <c r="H522" i="1" s="1"/>
  <c r="H523" i="1" a="1"/>
  <c r="H523" i="1" s="1"/>
  <c r="H524" i="1" a="1"/>
  <c r="H524" i="1" s="1"/>
  <c r="H525" i="1" a="1"/>
  <c r="H525" i="1" s="1"/>
  <c r="H526" i="1" a="1"/>
  <c r="H526" i="1" s="1"/>
  <c r="H527" i="1" a="1"/>
  <c r="H527" i="1" s="1"/>
  <c r="H528" i="1" a="1"/>
  <c r="H528" i="1" s="1"/>
  <c r="H529" i="1" a="1"/>
  <c r="H529" i="1" s="1"/>
  <c r="H530" i="1" a="1"/>
  <c r="H530" i="1" s="1"/>
  <c r="H531" i="1" a="1"/>
  <c r="H531" i="1" s="1"/>
  <c r="H532" i="1" a="1"/>
  <c r="H532" i="1" s="1"/>
  <c r="H533" i="1" a="1"/>
  <c r="H533" i="1" s="1"/>
  <c r="H534" i="1" a="1"/>
  <c r="H534" i="1" s="1"/>
  <c r="H535" i="1" a="1"/>
  <c r="H535" i="1" s="1"/>
  <c r="H536" i="1" a="1"/>
  <c r="H536" i="1" s="1"/>
  <c r="H537" i="1" a="1"/>
  <c r="H537" i="1" s="1"/>
  <c r="H538" i="1" a="1"/>
  <c r="H538" i="1" s="1"/>
  <c r="H539" i="1" a="1"/>
  <c r="H539" i="1" s="1"/>
  <c r="H540" i="1" a="1"/>
  <c r="H540" i="1" s="1"/>
  <c r="H541" i="1" a="1"/>
  <c r="H541" i="1" s="1"/>
  <c r="H542" i="1" a="1"/>
  <c r="H542" i="1" s="1"/>
  <c r="H543" i="1" a="1"/>
  <c r="H543" i="1" s="1"/>
  <c r="H544" i="1" a="1"/>
  <c r="H544" i="1" s="1"/>
  <c r="H545" i="1" a="1"/>
  <c r="H545" i="1" s="1"/>
  <c r="H546" i="1" a="1"/>
  <c r="H546" i="1" s="1"/>
  <c r="H547" i="1" a="1"/>
  <c r="H547" i="1" s="1"/>
  <c r="H548" i="1" a="1"/>
  <c r="H548" i="1" s="1"/>
  <c r="H549" i="1" a="1"/>
  <c r="H549" i="1" s="1"/>
  <c r="H550" i="1" a="1"/>
  <c r="H550" i="1" s="1"/>
  <c r="H551" i="1" a="1"/>
  <c r="H551" i="1" s="1"/>
  <c r="H552" i="1" a="1"/>
  <c r="H552" i="1" s="1"/>
  <c r="H553" i="1" a="1"/>
  <c r="H553" i="1" s="1"/>
  <c r="H554" i="1" a="1"/>
  <c r="H554" i="1" s="1"/>
  <c r="H555" i="1" a="1"/>
  <c r="H555" i="1" s="1"/>
  <c r="H556" i="1" a="1"/>
  <c r="H556" i="1" s="1"/>
  <c r="H557" i="1" a="1"/>
  <c r="H557" i="1" s="1"/>
  <c r="H558" i="1" a="1"/>
  <c r="H558" i="1" s="1"/>
  <c r="H559" i="1" a="1"/>
  <c r="H559" i="1" s="1"/>
  <c r="H560" i="1" a="1"/>
  <c r="H560" i="1" s="1"/>
  <c r="H561" i="1" a="1"/>
  <c r="H561" i="1" s="1"/>
  <c r="H562" i="1" a="1"/>
  <c r="H562" i="1" s="1"/>
  <c r="H563" i="1" a="1"/>
  <c r="H563" i="1" s="1"/>
  <c r="H564" i="1" a="1"/>
  <c r="H564" i="1" s="1"/>
  <c r="H565" i="1" a="1"/>
  <c r="H565" i="1" s="1"/>
  <c r="H566" i="1" a="1"/>
  <c r="H566" i="1" s="1"/>
  <c r="H567" i="1" a="1"/>
  <c r="H567" i="1" s="1"/>
  <c r="H568" i="1" a="1"/>
  <c r="H568" i="1" s="1"/>
  <c r="H569" i="1" a="1"/>
  <c r="H569" i="1" s="1"/>
  <c r="H570" i="1" a="1"/>
  <c r="H570" i="1" s="1"/>
  <c r="H571" i="1" a="1"/>
  <c r="H571" i="1" s="1"/>
  <c r="H572" i="1" a="1"/>
  <c r="H572" i="1" s="1"/>
  <c r="H573" i="1" a="1"/>
  <c r="H573" i="1" s="1"/>
  <c r="H574" i="1" a="1"/>
  <c r="H574" i="1" s="1"/>
  <c r="H575" i="1" a="1"/>
  <c r="H575" i="1" s="1"/>
  <c r="H576" i="1" a="1"/>
  <c r="H576" i="1" s="1"/>
  <c r="H577" i="1" a="1"/>
  <c r="H577" i="1" s="1"/>
  <c r="H578" i="1" a="1"/>
  <c r="H578" i="1" s="1"/>
  <c r="H579" i="1" a="1"/>
  <c r="H579" i="1" s="1"/>
  <c r="H580" i="1" a="1"/>
  <c r="H580" i="1" s="1"/>
  <c r="H581" i="1" a="1"/>
  <c r="H581" i="1" s="1"/>
  <c r="H582" i="1" a="1"/>
  <c r="H582" i="1" s="1"/>
  <c r="H583" i="1" a="1"/>
  <c r="H583" i="1" s="1"/>
  <c r="H584" i="1" a="1"/>
  <c r="H584" i="1" s="1"/>
  <c r="H585" i="1" a="1"/>
  <c r="H585" i="1" s="1"/>
  <c r="H586" i="1" a="1"/>
  <c r="H586" i="1" s="1"/>
  <c r="H587" i="1" a="1"/>
  <c r="H587" i="1" s="1"/>
  <c r="H588" i="1" a="1"/>
  <c r="H588" i="1" s="1"/>
  <c r="H589" i="1" a="1"/>
  <c r="H589" i="1" s="1"/>
  <c r="H590" i="1" a="1"/>
  <c r="H590" i="1" s="1"/>
  <c r="H591" i="1" a="1"/>
  <c r="H591" i="1" s="1"/>
  <c r="H592" i="1" a="1"/>
  <c r="H592" i="1" s="1"/>
  <c r="H593" i="1" a="1"/>
  <c r="H593" i="1" s="1"/>
  <c r="H594" i="1" a="1"/>
  <c r="H594" i="1" s="1"/>
  <c r="H595" i="1" a="1"/>
  <c r="H595" i="1" s="1"/>
  <c r="H596" i="1" a="1"/>
  <c r="H596" i="1" s="1"/>
  <c r="H597" i="1" a="1"/>
  <c r="H597" i="1" s="1"/>
  <c r="H598" i="1" a="1"/>
  <c r="H598" i="1" s="1"/>
  <c r="H599" i="1" a="1"/>
  <c r="H599" i="1" s="1"/>
  <c r="H600" i="1" a="1"/>
  <c r="H600" i="1" s="1"/>
  <c r="H601" i="1" a="1"/>
  <c r="H601" i="1" s="1"/>
  <c r="H602" i="1" a="1"/>
  <c r="H602" i="1" s="1"/>
  <c r="H603" i="1" a="1"/>
  <c r="H603" i="1" s="1"/>
  <c r="H604" i="1" a="1"/>
  <c r="H604" i="1" s="1"/>
  <c r="H605" i="1" a="1"/>
  <c r="H605" i="1" s="1"/>
  <c r="H606" i="1" a="1"/>
  <c r="H606" i="1" s="1"/>
  <c r="H607" i="1" a="1"/>
  <c r="H607" i="1" s="1"/>
  <c r="H608" i="1" a="1"/>
  <c r="H608" i="1" s="1"/>
  <c r="H609" i="1" a="1"/>
  <c r="H609" i="1" s="1"/>
  <c r="H610" i="1" a="1"/>
  <c r="H610" i="1" s="1"/>
  <c r="H611" i="1" a="1"/>
  <c r="H611" i="1" s="1"/>
  <c r="H612" i="1" a="1"/>
  <c r="H612" i="1" s="1"/>
  <c r="H613" i="1" a="1"/>
  <c r="H613" i="1" s="1"/>
  <c r="H614" i="1" a="1"/>
  <c r="H614" i="1" s="1"/>
  <c r="H615" i="1" a="1"/>
  <c r="H615" i="1" s="1"/>
  <c r="H616" i="1" a="1"/>
  <c r="H616" i="1" s="1"/>
  <c r="H617" i="1" a="1"/>
  <c r="H617" i="1" s="1"/>
  <c r="H618" i="1" a="1"/>
  <c r="H618" i="1" s="1"/>
  <c r="H619" i="1" a="1"/>
  <c r="H619" i="1" s="1"/>
  <c r="H620" i="1" a="1"/>
  <c r="H620" i="1" s="1"/>
  <c r="H621" i="1" a="1"/>
  <c r="H621" i="1" s="1"/>
  <c r="H622" i="1" a="1"/>
  <c r="H622" i="1" s="1"/>
  <c r="H623" i="1" a="1"/>
  <c r="H623" i="1" s="1"/>
  <c r="H624" i="1" a="1"/>
  <c r="H624" i="1" s="1"/>
  <c r="H625" i="1" a="1"/>
  <c r="H625" i="1" s="1"/>
  <c r="H626" i="1" a="1"/>
  <c r="H626" i="1" s="1"/>
  <c r="H627" i="1" a="1"/>
  <c r="H627" i="1" s="1"/>
  <c r="H628" i="1" a="1"/>
  <c r="H628" i="1" s="1"/>
  <c r="H629" i="1" a="1"/>
  <c r="H629" i="1" s="1"/>
  <c r="H630" i="1" a="1"/>
  <c r="H630" i="1" s="1"/>
  <c r="H631" i="1" a="1"/>
  <c r="H631" i="1" s="1"/>
  <c r="H632" i="1" a="1"/>
  <c r="H632" i="1" s="1"/>
  <c r="H633" i="1" a="1"/>
  <c r="H633" i="1" s="1"/>
  <c r="H634" i="1" a="1"/>
  <c r="H634" i="1" s="1"/>
  <c r="H635" i="1" a="1"/>
  <c r="H635" i="1" s="1"/>
  <c r="H636" i="1" a="1"/>
  <c r="H636" i="1" s="1"/>
  <c r="H637" i="1" a="1"/>
  <c r="H637" i="1" s="1"/>
  <c r="H638" i="1" a="1"/>
  <c r="H638" i="1" s="1"/>
  <c r="H639" i="1" a="1"/>
  <c r="H639" i="1" s="1"/>
  <c r="H640" i="1" a="1"/>
  <c r="H640" i="1" s="1"/>
  <c r="H641" i="1" a="1"/>
  <c r="H641" i="1" s="1"/>
  <c r="H642" i="1" a="1"/>
  <c r="H642" i="1" s="1"/>
  <c r="H643" i="1" a="1"/>
  <c r="H643" i="1" s="1"/>
  <c r="H644" i="1" a="1"/>
  <c r="H644" i="1" s="1"/>
  <c r="H645" i="1" a="1"/>
  <c r="H645" i="1" s="1"/>
  <c r="H646" i="1" a="1"/>
  <c r="H646" i="1" s="1"/>
  <c r="H647" i="1" a="1"/>
  <c r="H647" i="1" s="1"/>
  <c r="H648" i="1" a="1"/>
  <c r="H648" i="1" s="1"/>
  <c r="H649" i="1" a="1"/>
  <c r="H649" i="1" s="1"/>
  <c r="H650" i="1" a="1"/>
  <c r="H650" i="1" s="1"/>
  <c r="H651" i="1" a="1"/>
  <c r="H651" i="1" s="1"/>
  <c r="H652" i="1" a="1"/>
  <c r="H652" i="1" s="1"/>
  <c r="H653" i="1" a="1"/>
  <c r="H653" i="1" s="1"/>
  <c r="H654" i="1" a="1"/>
  <c r="H654" i="1" s="1"/>
  <c r="H655" i="1" a="1"/>
  <c r="H655" i="1" s="1"/>
  <c r="H656" i="1" a="1"/>
  <c r="H656" i="1" s="1"/>
  <c r="H657" i="1" a="1"/>
  <c r="H657" i="1" s="1"/>
  <c r="H658" i="1" a="1"/>
  <c r="H658" i="1" s="1"/>
  <c r="H659" i="1" a="1"/>
  <c r="H659" i="1" s="1"/>
  <c r="H660" i="1" a="1"/>
  <c r="H660" i="1" s="1"/>
  <c r="H661" i="1" a="1"/>
  <c r="H661" i="1" s="1"/>
  <c r="H662" i="1" a="1"/>
  <c r="H662" i="1" s="1"/>
  <c r="H663" i="1" a="1"/>
  <c r="H663" i="1" s="1"/>
  <c r="H664" i="1" a="1"/>
  <c r="H664" i="1" s="1"/>
  <c r="H665" i="1" a="1"/>
  <c r="H665" i="1" s="1"/>
  <c r="H666" i="1" a="1"/>
  <c r="H666" i="1" s="1"/>
  <c r="H667" i="1" a="1"/>
  <c r="H667" i="1" s="1"/>
  <c r="H668" i="1" a="1"/>
  <c r="H668" i="1" s="1"/>
  <c r="H669" i="1" a="1"/>
  <c r="H669" i="1" s="1"/>
  <c r="H670" i="1" a="1"/>
  <c r="H670" i="1" s="1"/>
  <c r="H671" i="1" a="1"/>
  <c r="H671" i="1" s="1"/>
  <c r="H672" i="1" a="1"/>
  <c r="H672" i="1" s="1"/>
  <c r="H673" i="1" a="1"/>
  <c r="H673" i="1" s="1"/>
  <c r="H674" i="1" a="1"/>
  <c r="H674" i="1" s="1"/>
  <c r="H675" i="1" a="1"/>
  <c r="H675" i="1" s="1"/>
  <c r="H676" i="1" a="1"/>
  <c r="H676" i="1" s="1"/>
  <c r="H677" i="1" a="1"/>
  <c r="H677" i="1" s="1"/>
  <c r="H678" i="1" a="1"/>
  <c r="H678" i="1" s="1"/>
  <c r="H679" i="1" a="1"/>
  <c r="H679" i="1" s="1"/>
  <c r="H680" i="1" a="1"/>
  <c r="H680" i="1" s="1"/>
  <c r="H681" i="1" a="1"/>
  <c r="H681" i="1" s="1"/>
  <c r="H682" i="1" a="1"/>
  <c r="H682" i="1" s="1"/>
  <c r="H683" i="1" a="1"/>
  <c r="H683" i="1" s="1"/>
  <c r="H684" i="1" a="1"/>
  <c r="H684" i="1" s="1"/>
  <c r="H685" i="1" a="1"/>
  <c r="H685" i="1" s="1"/>
  <c r="H686" i="1" a="1"/>
  <c r="H686" i="1" s="1"/>
  <c r="H687" i="1" a="1"/>
  <c r="H687" i="1" s="1"/>
  <c r="H688" i="1" a="1"/>
  <c r="H688" i="1" s="1"/>
  <c r="H689" i="1" a="1"/>
  <c r="H689" i="1" s="1"/>
  <c r="H690" i="1" a="1"/>
  <c r="H690" i="1" s="1"/>
  <c r="H691" i="1" a="1"/>
  <c r="H691" i="1" s="1"/>
  <c r="H692" i="1" a="1"/>
  <c r="H692" i="1" s="1"/>
  <c r="H693" i="1" a="1"/>
  <c r="H693" i="1" s="1"/>
  <c r="H694" i="1" a="1"/>
  <c r="H694" i="1" s="1"/>
  <c r="H695" i="1" a="1"/>
  <c r="H695" i="1" s="1"/>
  <c r="H696" i="1" a="1"/>
  <c r="H696" i="1" s="1"/>
  <c r="H697" i="1" a="1"/>
  <c r="H697" i="1" s="1"/>
  <c r="H698" i="1" a="1"/>
  <c r="H698" i="1" s="1"/>
  <c r="H699" i="1" a="1"/>
  <c r="H699" i="1" s="1"/>
  <c r="H700" i="1" a="1"/>
  <c r="H700" i="1" s="1"/>
  <c r="H701" i="1" a="1"/>
  <c r="H701" i="1" s="1"/>
  <c r="H702" i="1" a="1"/>
  <c r="H702" i="1" s="1"/>
  <c r="H703" i="1" a="1"/>
  <c r="H703" i="1" s="1"/>
  <c r="H704" i="1" a="1"/>
  <c r="H704" i="1" s="1"/>
  <c r="H705" i="1" a="1"/>
  <c r="H705" i="1" s="1"/>
  <c r="H706" i="1" a="1"/>
  <c r="H706" i="1" s="1"/>
  <c r="H707" i="1" a="1"/>
  <c r="H707" i="1" s="1"/>
  <c r="H708" i="1" a="1"/>
  <c r="H708" i="1" s="1"/>
  <c r="H709" i="1" a="1"/>
  <c r="H709" i="1" s="1"/>
  <c r="H710" i="1" a="1"/>
  <c r="H710" i="1" s="1"/>
  <c r="H711" i="1" a="1"/>
  <c r="H711" i="1" s="1"/>
  <c r="H712" i="1" a="1"/>
  <c r="H712" i="1" s="1"/>
  <c r="H713" i="1" a="1"/>
  <c r="H713" i="1" s="1"/>
  <c r="H714" i="1" a="1"/>
  <c r="H714" i="1" s="1"/>
  <c r="H715" i="1" a="1"/>
  <c r="H715" i="1" s="1"/>
  <c r="H716" i="1" a="1"/>
  <c r="H716" i="1" s="1"/>
  <c r="H717" i="1" a="1"/>
  <c r="H717" i="1" s="1"/>
  <c r="H718" i="1" a="1"/>
  <c r="H718" i="1" s="1"/>
  <c r="H719" i="1" a="1"/>
  <c r="H719" i="1" s="1"/>
  <c r="H720" i="1" a="1"/>
  <c r="H720" i="1" s="1"/>
  <c r="H721" i="1" a="1"/>
  <c r="H721" i="1" s="1"/>
  <c r="H722" i="1" a="1"/>
  <c r="H722" i="1" s="1"/>
  <c r="H723" i="1" a="1"/>
  <c r="H723" i="1" s="1"/>
  <c r="H724" i="1" a="1"/>
  <c r="H724" i="1" s="1"/>
  <c r="H725" i="1" a="1"/>
  <c r="H725" i="1" s="1"/>
  <c r="H726" i="1" a="1"/>
  <c r="H726" i="1" s="1"/>
  <c r="H727" i="1" a="1"/>
  <c r="H727" i="1" s="1"/>
  <c r="H728" i="1" a="1"/>
  <c r="H728" i="1" s="1"/>
  <c r="H729" i="1" a="1"/>
  <c r="H729" i="1" s="1"/>
  <c r="H730" i="1" a="1"/>
  <c r="H730" i="1" s="1"/>
  <c r="H731" i="1" a="1"/>
  <c r="H731" i="1" s="1"/>
  <c r="H732" i="1" a="1"/>
  <c r="H732" i="1" s="1"/>
  <c r="H733" i="1" a="1"/>
  <c r="H733" i="1" s="1"/>
  <c r="H734" i="1" a="1"/>
  <c r="H734" i="1" s="1"/>
  <c r="H735" i="1" a="1"/>
  <c r="H735" i="1" s="1"/>
  <c r="H736" i="1" a="1"/>
  <c r="H736" i="1" s="1"/>
  <c r="H737" i="1" a="1"/>
  <c r="H737" i="1" s="1"/>
  <c r="H738" i="1" a="1"/>
  <c r="H738" i="1" s="1"/>
  <c r="H739" i="1" a="1"/>
  <c r="H739" i="1" s="1"/>
  <c r="H740" i="1" a="1"/>
  <c r="H740" i="1" s="1"/>
  <c r="H741" i="1" a="1"/>
  <c r="H741" i="1" s="1"/>
  <c r="H742" i="1" a="1"/>
  <c r="H742" i="1" s="1"/>
  <c r="H743" i="1" a="1"/>
  <c r="H743" i="1" s="1"/>
  <c r="H744" i="1" a="1"/>
  <c r="H744" i="1" s="1"/>
  <c r="H745" i="1" a="1"/>
  <c r="H745" i="1" s="1"/>
  <c r="H746" i="1" a="1"/>
  <c r="H746" i="1" s="1"/>
  <c r="H747" i="1" a="1"/>
  <c r="H747" i="1" s="1"/>
  <c r="H748" i="1" a="1"/>
  <c r="H748" i="1" s="1"/>
  <c r="H749" i="1" a="1"/>
  <c r="H749" i="1" s="1"/>
  <c r="H750" i="1" a="1"/>
  <c r="H750" i="1" s="1"/>
  <c r="H751" i="1" a="1"/>
  <c r="H751" i="1" s="1"/>
  <c r="H752" i="1" a="1"/>
  <c r="H752" i="1" s="1"/>
  <c r="H753" i="1" a="1"/>
  <c r="H753" i="1" s="1"/>
  <c r="H754" i="1" a="1"/>
  <c r="H754" i="1" s="1"/>
  <c r="H755" i="1" a="1"/>
  <c r="H755" i="1" s="1"/>
  <c r="H756" i="1" a="1"/>
  <c r="H756" i="1" s="1"/>
  <c r="H757" i="1" a="1"/>
  <c r="H757" i="1" s="1"/>
  <c r="H758" i="1" a="1"/>
  <c r="H758" i="1" s="1"/>
  <c r="H759" i="1" a="1"/>
  <c r="H759" i="1" s="1"/>
  <c r="H760" i="1" a="1"/>
  <c r="H760" i="1" s="1"/>
  <c r="H761" i="1" a="1"/>
  <c r="H761" i="1" s="1"/>
  <c r="H762" i="1" a="1"/>
  <c r="H762" i="1" s="1"/>
  <c r="H763" i="1" a="1"/>
  <c r="H763" i="1" s="1"/>
  <c r="H764" i="1" a="1"/>
  <c r="H764" i="1" s="1"/>
  <c r="H765" i="1" a="1"/>
  <c r="H765" i="1" s="1"/>
  <c r="H766" i="1" a="1"/>
  <c r="H766" i="1" s="1"/>
  <c r="H767" i="1" a="1"/>
  <c r="H767" i="1" s="1"/>
  <c r="H768" i="1" a="1"/>
  <c r="H768" i="1" s="1"/>
  <c r="H769" i="1" a="1"/>
  <c r="H769" i="1" s="1"/>
  <c r="H770" i="1" a="1"/>
  <c r="H770" i="1" s="1"/>
  <c r="H771" i="1" a="1"/>
  <c r="H771" i="1" s="1"/>
  <c r="H772" i="1" a="1"/>
  <c r="H772" i="1" s="1"/>
  <c r="H773" i="1" a="1"/>
  <c r="H773" i="1" s="1"/>
  <c r="H774" i="1" a="1"/>
  <c r="H774" i="1" s="1"/>
  <c r="H775" i="1" a="1"/>
  <c r="H775" i="1" s="1"/>
  <c r="H776" i="1" a="1"/>
  <c r="H776" i="1" s="1"/>
  <c r="H777" i="1" a="1"/>
  <c r="H777" i="1" s="1"/>
  <c r="H778" i="1" a="1"/>
  <c r="H778" i="1" s="1"/>
  <c r="H779" i="1" a="1"/>
  <c r="H779" i="1" s="1"/>
  <c r="H780" i="1" a="1"/>
  <c r="H780" i="1" s="1"/>
  <c r="H781" i="1" a="1"/>
  <c r="H781" i="1" s="1"/>
  <c r="H782" i="1" a="1"/>
  <c r="H782" i="1" s="1"/>
  <c r="H783" i="1" a="1"/>
  <c r="H783" i="1" s="1"/>
  <c r="H784" i="1" a="1"/>
  <c r="H784" i="1" s="1"/>
  <c r="H785" i="1" a="1"/>
  <c r="H785" i="1" s="1"/>
  <c r="H786" i="1" a="1"/>
  <c r="H786" i="1" s="1"/>
  <c r="H787" i="1" a="1"/>
  <c r="H787" i="1" s="1"/>
  <c r="H788" i="1" a="1"/>
  <c r="H788" i="1" s="1"/>
  <c r="H789" i="1" a="1"/>
  <c r="H789" i="1" s="1"/>
  <c r="H790" i="1" a="1"/>
  <c r="H790" i="1" s="1"/>
  <c r="H791" i="1" a="1"/>
  <c r="H791" i="1" s="1"/>
  <c r="H792" i="1" a="1"/>
  <c r="H792" i="1" s="1"/>
  <c r="H793" i="1" a="1"/>
  <c r="H793" i="1" s="1"/>
  <c r="H794" i="1" a="1"/>
  <c r="H794" i="1" s="1"/>
  <c r="H795" i="1" a="1"/>
  <c r="H795" i="1" s="1"/>
  <c r="H796" i="1" a="1"/>
  <c r="H796" i="1" s="1"/>
  <c r="H797" i="1" a="1"/>
  <c r="H797" i="1" s="1"/>
  <c r="H798" i="1" a="1"/>
  <c r="H798" i="1" s="1"/>
  <c r="H799" i="1" a="1"/>
  <c r="H799" i="1" s="1"/>
  <c r="H800" i="1" a="1"/>
  <c r="H800" i="1" s="1"/>
  <c r="H801" i="1" a="1"/>
  <c r="H801" i="1" s="1"/>
  <c r="H802" i="1" a="1"/>
  <c r="H802" i="1" s="1"/>
  <c r="H803" i="1" a="1"/>
  <c r="H803" i="1" s="1"/>
  <c r="H804" i="1" a="1"/>
  <c r="H804" i="1" s="1"/>
  <c r="H805" i="1" a="1"/>
  <c r="H805" i="1" s="1"/>
  <c r="H806" i="1" a="1"/>
  <c r="H806" i="1" s="1"/>
  <c r="H807" i="1" a="1"/>
  <c r="H807" i="1" s="1"/>
  <c r="H808" i="1" a="1"/>
  <c r="H808" i="1" s="1"/>
  <c r="H809" i="1" a="1"/>
  <c r="H809" i="1" s="1"/>
  <c r="H810" i="1" a="1"/>
  <c r="H810" i="1" s="1"/>
  <c r="H811" i="1" a="1"/>
  <c r="H811" i="1" s="1"/>
  <c r="H812" i="1" a="1"/>
  <c r="H812" i="1" s="1"/>
  <c r="H813" i="1" a="1"/>
  <c r="H813" i="1" s="1"/>
  <c r="H814" i="1" a="1"/>
  <c r="H814" i="1" s="1"/>
  <c r="H815" i="1" a="1"/>
  <c r="H815" i="1" s="1"/>
  <c r="H816" i="1" a="1"/>
  <c r="H816" i="1" s="1"/>
  <c r="H817" i="1" a="1"/>
  <c r="H817" i="1" s="1"/>
  <c r="H818" i="1" a="1"/>
  <c r="H818" i="1" s="1"/>
  <c r="H819" i="1" a="1"/>
  <c r="H819" i="1" s="1"/>
  <c r="H820" i="1" a="1"/>
  <c r="H820" i="1" s="1"/>
  <c r="H821" i="1" a="1"/>
  <c r="H821" i="1" s="1"/>
  <c r="H822" i="1" a="1"/>
  <c r="H822" i="1" s="1"/>
  <c r="H823" i="1" a="1"/>
  <c r="H823" i="1" s="1"/>
  <c r="H824" i="1" a="1"/>
  <c r="H824" i="1" s="1"/>
  <c r="H825" i="1" a="1"/>
  <c r="H825" i="1" s="1"/>
  <c r="H826" i="1" a="1"/>
  <c r="H826" i="1" s="1"/>
  <c r="H827" i="1" a="1"/>
  <c r="H827" i="1" s="1"/>
  <c r="H828" i="1" a="1"/>
  <c r="H828" i="1" s="1"/>
  <c r="H829" i="1" a="1"/>
  <c r="H829" i="1" s="1"/>
  <c r="H830" i="1" a="1"/>
  <c r="H830" i="1" s="1"/>
  <c r="H831" i="1" a="1"/>
  <c r="H831" i="1" s="1"/>
  <c r="H832" i="1" a="1"/>
  <c r="H832" i="1" s="1"/>
  <c r="H833" i="1" a="1"/>
  <c r="H833" i="1" s="1"/>
  <c r="H834" i="1" a="1"/>
  <c r="H834" i="1" s="1"/>
  <c r="H835" i="1" a="1"/>
  <c r="H835" i="1" s="1"/>
  <c r="H836" i="1" a="1"/>
  <c r="H836" i="1" s="1"/>
  <c r="H837" i="1" a="1"/>
  <c r="H837" i="1" s="1"/>
  <c r="H838" i="1" a="1"/>
  <c r="H838" i="1" s="1"/>
  <c r="H839" i="1" a="1"/>
  <c r="H839" i="1" s="1"/>
  <c r="H840" i="1" a="1"/>
  <c r="H840" i="1" s="1"/>
  <c r="H841" i="1" a="1"/>
  <c r="H841" i="1" s="1"/>
  <c r="H842" i="1" a="1"/>
  <c r="H842" i="1" s="1"/>
  <c r="H843" i="1" a="1"/>
  <c r="H843" i="1" s="1"/>
  <c r="H844" i="1" a="1"/>
  <c r="H844" i="1" s="1"/>
  <c r="H845" i="1" a="1"/>
  <c r="H845" i="1" s="1"/>
  <c r="H846" i="1" a="1"/>
  <c r="H846" i="1" s="1"/>
  <c r="H847" i="1" a="1"/>
  <c r="H847" i="1" s="1"/>
  <c r="H848" i="1" a="1"/>
  <c r="H848" i="1" s="1"/>
  <c r="H849" i="1" a="1"/>
  <c r="H849" i="1" s="1"/>
  <c r="H850" i="1" a="1"/>
  <c r="H850" i="1" s="1"/>
  <c r="H851" i="1" a="1"/>
  <c r="H851" i="1" s="1"/>
  <c r="H852" i="1" a="1"/>
  <c r="H852" i="1" s="1"/>
  <c r="H853" i="1" a="1"/>
  <c r="H853" i="1" s="1"/>
  <c r="H854" i="1" a="1"/>
  <c r="H854" i="1" s="1"/>
  <c r="H855" i="1" a="1"/>
  <c r="H855" i="1" s="1"/>
  <c r="H856" i="1" a="1"/>
  <c r="H856" i="1" s="1"/>
  <c r="H857" i="1" a="1"/>
  <c r="H857" i="1" s="1"/>
  <c r="H858" i="1" a="1"/>
  <c r="H858" i="1" s="1"/>
  <c r="H859" i="1" a="1"/>
  <c r="H859" i="1" s="1"/>
  <c r="H860" i="1" a="1"/>
  <c r="H860" i="1" s="1"/>
  <c r="H861" i="1" a="1"/>
  <c r="H861" i="1" s="1"/>
  <c r="H862" i="1" a="1"/>
  <c r="H862" i="1" s="1"/>
  <c r="H863" i="1" a="1"/>
  <c r="H863" i="1" s="1"/>
  <c r="H864" i="1" a="1"/>
  <c r="H864" i="1" s="1"/>
  <c r="H865" i="1" a="1"/>
  <c r="H865" i="1" s="1"/>
  <c r="H866" i="1" a="1"/>
  <c r="H866" i="1" s="1"/>
  <c r="H867" i="1" a="1"/>
  <c r="H867" i="1" s="1"/>
  <c r="H868" i="1" a="1"/>
  <c r="H868" i="1" s="1"/>
  <c r="H869" i="1" a="1"/>
  <c r="H869" i="1" s="1"/>
  <c r="H870" i="1" a="1"/>
  <c r="H870" i="1" s="1"/>
  <c r="H871" i="1" a="1"/>
  <c r="H871" i="1" s="1"/>
  <c r="H872" i="1" a="1"/>
  <c r="H872" i="1" s="1"/>
  <c r="H873" i="1" a="1"/>
  <c r="H873" i="1" s="1"/>
  <c r="H874" i="1" a="1"/>
  <c r="H874" i="1" s="1"/>
  <c r="H875" i="1" a="1"/>
  <c r="H875" i="1" s="1"/>
  <c r="H876" i="1" a="1"/>
  <c r="H876" i="1" s="1"/>
  <c r="H877" i="1" a="1"/>
  <c r="H877" i="1" s="1"/>
  <c r="H878" i="1" a="1"/>
  <c r="H878" i="1" s="1"/>
  <c r="H879" i="1" a="1"/>
  <c r="H879" i="1" s="1"/>
  <c r="H880" i="1" a="1"/>
  <c r="H880" i="1" s="1"/>
  <c r="H881" i="1" a="1"/>
  <c r="H881" i="1" s="1"/>
  <c r="H882" i="1" a="1"/>
  <c r="H882" i="1" s="1"/>
  <c r="H883" i="1" a="1"/>
  <c r="H883" i="1" s="1"/>
  <c r="H884" i="1" a="1"/>
  <c r="H884" i="1" s="1"/>
  <c r="H885" i="1" a="1"/>
  <c r="H885" i="1" s="1"/>
  <c r="H886" i="1" a="1"/>
  <c r="H886" i="1" s="1"/>
  <c r="H887" i="1" a="1"/>
  <c r="H887" i="1" s="1"/>
  <c r="H888" i="1" a="1"/>
  <c r="H888" i="1" s="1"/>
  <c r="H889" i="1" a="1"/>
  <c r="H889" i="1" s="1"/>
  <c r="H890" i="1" a="1"/>
  <c r="H890" i="1" s="1"/>
  <c r="H891" i="1" a="1"/>
  <c r="H891" i="1" s="1"/>
  <c r="H892" i="1" a="1"/>
  <c r="H892" i="1" s="1"/>
  <c r="H893" i="1" a="1"/>
  <c r="H893" i="1" s="1"/>
  <c r="H894" i="1" a="1"/>
  <c r="H894" i="1" s="1"/>
  <c r="H895" i="1" a="1"/>
  <c r="H895" i="1" s="1"/>
  <c r="H896" i="1" a="1"/>
  <c r="H896" i="1" s="1"/>
  <c r="H897" i="1" a="1"/>
  <c r="H897" i="1" s="1"/>
  <c r="H898" i="1" a="1"/>
  <c r="H898" i="1" s="1"/>
  <c r="H899" i="1" a="1"/>
  <c r="H899" i="1" s="1"/>
  <c r="H900" i="1" a="1"/>
  <c r="H900" i="1" s="1"/>
  <c r="H901" i="1" a="1"/>
  <c r="H901" i="1" s="1"/>
  <c r="H902" i="1" a="1"/>
  <c r="H902" i="1" s="1"/>
  <c r="H903" i="1" a="1"/>
  <c r="H903" i="1" s="1"/>
  <c r="H904" i="1" a="1"/>
  <c r="H904" i="1" s="1"/>
  <c r="H905" i="1" a="1"/>
  <c r="H905" i="1" s="1"/>
  <c r="H906" i="1" a="1"/>
  <c r="H906" i="1" s="1"/>
  <c r="H907" i="1" a="1"/>
  <c r="H907" i="1" s="1"/>
  <c r="H908" i="1" a="1"/>
  <c r="H908" i="1" s="1"/>
  <c r="H909" i="1" a="1"/>
  <c r="H909" i="1" s="1"/>
  <c r="H910" i="1" a="1"/>
  <c r="H910" i="1" s="1"/>
  <c r="H911" i="1" a="1"/>
  <c r="H911" i="1" s="1"/>
  <c r="H912" i="1" a="1"/>
  <c r="H912" i="1" s="1"/>
  <c r="H913" i="1" a="1"/>
  <c r="H913" i="1" s="1"/>
  <c r="H914" i="1" a="1"/>
  <c r="H914" i="1" s="1"/>
  <c r="H915" i="1" a="1"/>
  <c r="H915" i="1" s="1"/>
  <c r="H916" i="1" a="1"/>
  <c r="H916" i="1" s="1"/>
  <c r="H917" i="1" a="1"/>
  <c r="H917" i="1" s="1"/>
  <c r="H918" i="1" a="1"/>
  <c r="H918" i="1" s="1"/>
  <c r="H919" i="1" a="1"/>
  <c r="H919" i="1" s="1"/>
  <c r="H920" i="1" a="1"/>
  <c r="H920" i="1" s="1"/>
  <c r="H921" i="1" a="1"/>
  <c r="H921" i="1" s="1"/>
  <c r="H922" i="1" a="1"/>
  <c r="H922" i="1" s="1"/>
  <c r="H923" i="1" a="1"/>
  <c r="H923" i="1" s="1"/>
  <c r="H924" i="1" a="1"/>
  <c r="H924" i="1" s="1"/>
  <c r="H925" i="1" a="1"/>
  <c r="H925" i="1" s="1"/>
  <c r="H926" i="1" a="1"/>
  <c r="H926" i="1" s="1"/>
  <c r="H927" i="1" a="1"/>
  <c r="H927" i="1" s="1"/>
  <c r="H928" i="1" a="1"/>
  <c r="H928" i="1" s="1"/>
  <c r="H929" i="1" a="1"/>
  <c r="H929" i="1" s="1"/>
  <c r="H930" i="1" a="1"/>
  <c r="H930" i="1" s="1"/>
  <c r="H931" i="1" a="1"/>
  <c r="H931" i="1" s="1"/>
  <c r="H932" i="1" a="1"/>
  <c r="H932" i="1" s="1"/>
  <c r="H933" i="1" a="1"/>
  <c r="H933" i="1" s="1"/>
  <c r="H934" i="1" a="1"/>
  <c r="H934" i="1" s="1"/>
  <c r="H935" i="1" a="1"/>
  <c r="H935" i="1" s="1"/>
  <c r="H936" i="1" a="1"/>
  <c r="H936" i="1" s="1"/>
  <c r="H937" i="1" a="1"/>
  <c r="H937" i="1" s="1"/>
  <c r="H938" i="1" a="1"/>
  <c r="H938" i="1" s="1"/>
  <c r="H939" i="1" a="1"/>
  <c r="H939" i="1" s="1"/>
  <c r="H940" i="1" a="1"/>
  <c r="H940" i="1" s="1"/>
  <c r="H941" i="1" a="1"/>
  <c r="H941" i="1" s="1"/>
  <c r="H942" i="1" a="1"/>
  <c r="H942" i="1" s="1"/>
  <c r="H943" i="1" a="1"/>
  <c r="H943" i="1" s="1"/>
  <c r="H944" i="1" a="1"/>
  <c r="H944" i="1" s="1"/>
  <c r="H945" i="1" a="1"/>
  <c r="H945" i="1" s="1"/>
  <c r="H946" i="1" a="1"/>
  <c r="H946" i="1" s="1"/>
  <c r="H947" i="1" a="1"/>
  <c r="H947" i="1" s="1"/>
  <c r="H948" i="1" a="1"/>
  <c r="H948" i="1" s="1"/>
  <c r="H949" i="1" a="1"/>
  <c r="H949" i="1" s="1"/>
  <c r="H950" i="1" a="1"/>
  <c r="H950" i="1" s="1"/>
  <c r="H951" i="1" a="1"/>
  <c r="H951" i="1" s="1"/>
  <c r="H952" i="1" a="1"/>
  <c r="H952" i="1" s="1"/>
  <c r="H953" i="1" a="1"/>
  <c r="H953" i="1" s="1"/>
  <c r="H954" i="1" a="1"/>
  <c r="H954" i="1" s="1"/>
  <c r="H955" i="1" a="1"/>
  <c r="H955" i="1" s="1"/>
  <c r="H956" i="1" a="1"/>
  <c r="H956" i="1" s="1"/>
  <c r="H957" i="1" a="1"/>
  <c r="H957" i="1" s="1"/>
  <c r="H958" i="1" a="1"/>
  <c r="H958" i="1" s="1"/>
  <c r="H959" i="1" a="1"/>
  <c r="H959" i="1" s="1"/>
  <c r="H960" i="1" a="1"/>
  <c r="H960" i="1" s="1"/>
  <c r="H961" i="1" a="1"/>
  <c r="H961" i="1" s="1"/>
  <c r="H962" i="1" a="1"/>
  <c r="H962" i="1" s="1"/>
  <c r="H963" i="1" a="1"/>
  <c r="H963" i="1" s="1"/>
  <c r="H964" i="1" a="1"/>
  <c r="H964" i="1" s="1"/>
  <c r="H965" i="1" a="1"/>
  <c r="H965" i="1" s="1"/>
  <c r="H966" i="1" a="1"/>
  <c r="H966" i="1" s="1"/>
  <c r="H967" i="1" a="1"/>
  <c r="H967" i="1" s="1"/>
  <c r="H968" i="1" a="1"/>
  <c r="H968" i="1" s="1"/>
  <c r="H969" i="1" a="1"/>
  <c r="H969" i="1" s="1"/>
  <c r="H970" i="1" a="1"/>
  <c r="H970" i="1" s="1"/>
  <c r="H971" i="1" a="1"/>
  <c r="H971" i="1" s="1"/>
  <c r="H972" i="1" a="1"/>
  <c r="H972" i="1" s="1"/>
  <c r="H973" i="1" a="1"/>
  <c r="H973" i="1" s="1"/>
  <c r="H974" i="1" a="1"/>
  <c r="H974" i="1" s="1"/>
  <c r="H975" i="1" a="1"/>
  <c r="H975" i="1" s="1"/>
  <c r="H976" i="1" a="1"/>
  <c r="H976" i="1" s="1"/>
  <c r="H977" i="1" a="1"/>
  <c r="H977" i="1" s="1"/>
  <c r="H978" i="1" a="1"/>
  <c r="H978" i="1" s="1"/>
  <c r="H979" i="1" a="1"/>
  <c r="H979" i="1" s="1"/>
  <c r="H980" i="1" a="1"/>
  <c r="H980" i="1" s="1"/>
  <c r="H981" i="1" a="1"/>
  <c r="H981" i="1" s="1"/>
  <c r="H982" i="1" a="1"/>
  <c r="H982" i="1" s="1"/>
  <c r="H983" i="1" a="1"/>
  <c r="H983" i="1" s="1"/>
  <c r="H984" i="1" a="1"/>
  <c r="H984" i="1" s="1"/>
  <c r="H985" i="1" a="1"/>
  <c r="H985" i="1" s="1"/>
  <c r="H986" i="1" a="1"/>
  <c r="H986" i="1" s="1"/>
  <c r="H987" i="1" a="1"/>
  <c r="H987" i="1" s="1"/>
  <c r="H988" i="1" a="1"/>
  <c r="H988" i="1" s="1"/>
  <c r="H989" i="1" a="1"/>
  <c r="H989" i="1" s="1"/>
  <c r="H990" i="1" a="1"/>
  <c r="H990" i="1" s="1"/>
  <c r="H991" i="1" a="1"/>
  <c r="H991" i="1" s="1"/>
  <c r="H992" i="1" a="1"/>
  <c r="H992" i="1" s="1"/>
  <c r="H993" i="1" a="1"/>
  <c r="H993" i="1" s="1"/>
  <c r="H994" i="1" a="1"/>
  <c r="H994" i="1" s="1"/>
  <c r="H995" i="1" a="1"/>
  <c r="H995" i="1" s="1"/>
  <c r="H996" i="1" a="1"/>
  <c r="H996" i="1" s="1"/>
  <c r="H997" i="1" a="1"/>
  <c r="H997" i="1" s="1"/>
  <c r="H998" i="1" a="1"/>
  <c r="H998" i="1" s="1"/>
  <c r="H999" i="1" a="1"/>
  <c r="H999" i="1" s="1"/>
  <c r="H1000" i="1" a="1"/>
  <c r="H1000" i="1" s="1"/>
  <c r="H1001" i="1" a="1"/>
  <c r="H1001" i="1" s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501" i="2"/>
  <c r="G501" i="1" s="1"/>
  <c r="E484" i="2"/>
  <c r="G484" i="1" s="1"/>
  <c r="E476" i="2"/>
  <c r="G476" i="1" s="1"/>
  <c r="E470" i="2"/>
  <c r="G470" i="1" s="1"/>
  <c r="E451" i="2"/>
  <c r="G451" i="1" s="1"/>
  <c r="E450" i="2"/>
  <c r="G450" i="1" s="1"/>
  <c r="E443" i="2"/>
  <c r="G443" i="1" s="1"/>
  <c r="E434" i="2"/>
  <c r="G434" i="1" s="1"/>
  <c r="E425" i="2"/>
  <c r="G425" i="1" s="1"/>
  <c r="E409" i="2"/>
  <c r="G409" i="1" s="1"/>
  <c r="E402" i="2"/>
  <c r="G402" i="1" s="1"/>
  <c r="E392" i="2"/>
  <c r="G392" i="1" s="1"/>
  <c r="E374" i="2"/>
  <c r="G374" i="1" s="1"/>
  <c r="E359" i="2"/>
  <c r="G359" i="1" s="1"/>
  <c r="E358" i="2"/>
  <c r="G358" i="1" s="1"/>
  <c r="E338" i="2"/>
  <c r="G338" i="1" s="1"/>
  <c r="E331" i="2"/>
  <c r="G331" i="1" s="1"/>
  <c r="E321" i="2"/>
  <c r="G321" i="1" s="1"/>
  <c r="E320" i="2"/>
  <c r="G320" i="1" s="1"/>
  <c r="E312" i="2"/>
  <c r="G312" i="1" s="1"/>
  <c r="E304" i="2"/>
  <c r="G304" i="1" s="1"/>
  <c r="E303" i="2"/>
  <c r="G303" i="1" s="1"/>
  <c r="E300" i="2"/>
  <c r="G300" i="1" s="1"/>
  <c r="E293" i="2"/>
  <c r="G293" i="1" s="1"/>
  <c r="E284" i="2"/>
  <c r="G284" i="1" s="1"/>
  <c r="E283" i="2"/>
  <c r="G283" i="1" s="1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H495" i="1" a="1"/>
  <c r="H495" i="1" s="1"/>
  <c r="H494" i="1" a="1"/>
  <c r="H494" i="1" s="1"/>
  <c r="H493" i="1" a="1"/>
  <c r="H493" i="1" s="1"/>
  <c r="H492" i="1" a="1"/>
  <c r="H492" i="1" s="1"/>
  <c r="H491" i="1" a="1"/>
  <c r="H491" i="1" s="1"/>
  <c r="H490" i="1" a="1"/>
  <c r="H490" i="1" s="1"/>
  <c r="H489" i="1" a="1"/>
  <c r="H489" i="1" s="1"/>
  <c r="H488" i="1" a="1"/>
  <c r="H488" i="1" s="1"/>
  <c r="H487" i="1" a="1"/>
  <c r="H487" i="1" s="1"/>
  <c r="H486" i="1" a="1"/>
  <c r="H486" i="1" s="1"/>
  <c r="H485" i="1" a="1"/>
  <c r="H485" i="1" s="1"/>
  <c r="H484" i="1" a="1"/>
  <c r="H484" i="1" s="1"/>
  <c r="H483" i="1" a="1"/>
  <c r="H483" i="1" s="1"/>
  <c r="H482" i="1" a="1"/>
  <c r="H482" i="1" s="1"/>
  <c r="H481" i="1" a="1"/>
  <c r="H481" i="1" s="1"/>
  <c r="H480" i="1" a="1"/>
  <c r="H480" i="1" s="1"/>
  <c r="H479" i="1" a="1"/>
  <c r="H479" i="1" s="1"/>
  <c r="H478" i="1" a="1"/>
  <c r="H478" i="1" s="1"/>
  <c r="H477" i="1" a="1"/>
  <c r="H477" i="1" s="1"/>
  <c r="H476" i="1" a="1"/>
  <c r="H476" i="1" s="1"/>
  <c r="H475" i="1" a="1"/>
  <c r="H475" i="1" s="1"/>
  <c r="H474" i="1" a="1"/>
  <c r="H474" i="1" s="1"/>
  <c r="H473" i="1" a="1"/>
  <c r="H473" i="1" s="1"/>
  <c r="H472" i="1" a="1"/>
  <c r="H472" i="1" s="1"/>
  <c r="H471" i="1" a="1"/>
  <c r="H471" i="1" s="1"/>
  <c r="H470" i="1" a="1"/>
  <c r="H470" i="1" s="1"/>
  <c r="H469" i="1" a="1"/>
  <c r="H469" i="1" s="1"/>
  <c r="H468" i="1" a="1"/>
  <c r="H468" i="1" s="1"/>
  <c r="H467" i="1" a="1"/>
  <c r="H467" i="1" s="1"/>
  <c r="H466" i="1" a="1"/>
  <c r="H466" i="1" s="1"/>
  <c r="H465" i="1" a="1"/>
  <c r="H465" i="1" s="1"/>
  <c r="H464" i="1" a="1"/>
  <c r="H464" i="1" s="1"/>
  <c r="H463" i="1" a="1"/>
  <c r="H463" i="1" s="1"/>
  <c r="H462" i="1" a="1"/>
  <c r="H462" i="1" s="1"/>
  <c r="H461" i="1" a="1"/>
  <c r="H461" i="1" s="1"/>
  <c r="H460" i="1" a="1"/>
  <c r="H460" i="1" s="1"/>
  <c r="H459" i="1" a="1"/>
  <c r="H459" i="1" s="1"/>
  <c r="H458" i="1" a="1"/>
  <c r="H458" i="1" s="1"/>
  <c r="H457" i="1" a="1"/>
  <c r="H457" i="1" s="1"/>
  <c r="H456" i="1" a="1"/>
  <c r="H456" i="1" s="1"/>
  <c r="H455" i="1" a="1"/>
  <c r="H455" i="1" s="1"/>
  <c r="H454" i="1" a="1"/>
  <c r="H454" i="1" s="1"/>
  <c r="H453" i="1" a="1"/>
  <c r="H453" i="1" s="1"/>
  <c r="H452" i="1" a="1"/>
  <c r="H452" i="1" s="1"/>
  <c r="H451" i="1" a="1"/>
  <c r="H451" i="1" s="1"/>
  <c r="H450" i="1" a="1"/>
  <c r="H450" i="1" s="1"/>
  <c r="H449" i="1" a="1"/>
  <c r="H449" i="1" s="1"/>
  <c r="H448" i="1" a="1"/>
  <c r="H448" i="1" s="1"/>
  <c r="H447" i="1" a="1"/>
  <c r="H447" i="1" s="1"/>
  <c r="H446" i="1" a="1"/>
  <c r="H446" i="1" s="1"/>
  <c r="H445" i="1" a="1"/>
  <c r="H445" i="1" s="1"/>
  <c r="H444" i="1" a="1"/>
  <c r="H444" i="1" s="1"/>
  <c r="H443" i="1" a="1"/>
  <c r="H443" i="1" s="1"/>
  <c r="H442" i="1" a="1"/>
  <c r="H442" i="1" s="1"/>
  <c r="H441" i="1" a="1"/>
  <c r="H441" i="1" s="1"/>
  <c r="H440" i="1" a="1"/>
  <c r="H440" i="1" s="1"/>
  <c r="H439" i="1" a="1"/>
  <c r="H439" i="1" s="1"/>
  <c r="H438" i="1" a="1"/>
  <c r="H438" i="1" s="1"/>
  <c r="H437" i="1" a="1"/>
  <c r="H437" i="1" s="1"/>
  <c r="H436" i="1" a="1"/>
  <c r="H436" i="1" s="1"/>
  <c r="H435" i="1" a="1"/>
  <c r="H435" i="1" s="1"/>
  <c r="H434" i="1" a="1"/>
  <c r="H434" i="1" s="1"/>
  <c r="H433" i="1" a="1"/>
  <c r="H433" i="1" s="1"/>
  <c r="H432" i="1" a="1"/>
  <c r="H432" i="1" s="1"/>
  <c r="H431" i="1" a="1"/>
  <c r="H431" i="1" s="1"/>
  <c r="H430" i="1" a="1"/>
  <c r="H430" i="1" s="1"/>
  <c r="H429" i="1" a="1"/>
  <c r="H429" i="1" s="1"/>
  <c r="H428" i="1" a="1"/>
  <c r="H428" i="1" s="1"/>
  <c r="H427" i="1" a="1"/>
  <c r="H427" i="1" s="1"/>
  <c r="H426" i="1" a="1"/>
  <c r="H426" i="1" s="1"/>
  <c r="H425" i="1" a="1"/>
  <c r="H425" i="1" s="1"/>
  <c r="H424" i="1" a="1"/>
  <c r="H424" i="1" s="1"/>
  <c r="H423" i="1" a="1"/>
  <c r="H423" i="1" s="1"/>
  <c r="H422" i="1" a="1"/>
  <c r="H422" i="1" s="1"/>
  <c r="H421" i="1" a="1"/>
  <c r="H421" i="1" s="1"/>
  <c r="H420" i="1" a="1"/>
  <c r="H420" i="1" s="1"/>
  <c r="H419" i="1" a="1"/>
  <c r="H419" i="1" s="1"/>
  <c r="H418" i="1" a="1"/>
  <c r="H418" i="1" s="1"/>
  <c r="H417" i="1" a="1"/>
  <c r="H417" i="1" s="1"/>
  <c r="H416" i="1" a="1"/>
  <c r="H416" i="1" s="1"/>
  <c r="H415" i="1" a="1"/>
  <c r="H415" i="1" s="1"/>
  <c r="H414" i="1" a="1"/>
  <c r="H414" i="1" s="1"/>
  <c r="H413" i="1" a="1"/>
  <c r="H413" i="1" s="1"/>
  <c r="H412" i="1" a="1"/>
  <c r="H412" i="1" s="1"/>
  <c r="H411" i="1" a="1"/>
  <c r="H411" i="1" s="1"/>
  <c r="H410" i="1" a="1"/>
  <c r="H410" i="1" s="1"/>
  <c r="H409" i="1" a="1"/>
  <c r="H409" i="1" s="1"/>
  <c r="H408" i="1" a="1"/>
  <c r="H408" i="1" s="1"/>
  <c r="H407" i="1" a="1"/>
  <c r="H407" i="1" s="1"/>
  <c r="H406" i="1" a="1"/>
  <c r="H406" i="1" s="1"/>
  <c r="H405" i="1" a="1"/>
  <c r="H405" i="1" s="1"/>
  <c r="H404" i="1" a="1"/>
  <c r="H404" i="1" s="1"/>
  <c r="H403" i="1" a="1"/>
  <c r="H403" i="1" s="1"/>
  <c r="H402" i="1" a="1"/>
  <c r="H402" i="1" s="1"/>
  <c r="H401" i="1" a="1"/>
  <c r="H401" i="1" s="1"/>
  <c r="H400" i="1" a="1"/>
  <c r="H400" i="1" s="1"/>
  <c r="H399" i="1" a="1"/>
  <c r="H399" i="1" s="1"/>
  <c r="H398" i="1" a="1"/>
  <c r="H398" i="1" s="1"/>
  <c r="H397" i="1" a="1"/>
  <c r="H397" i="1" s="1"/>
  <c r="H396" i="1" a="1"/>
  <c r="H396" i="1" s="1"/>
  <c r="H395" i="1" a="1"/>
  <c r="H395" i="1" s="1"/>
  <c r="H394" i="1" a="1"/>
  <c r="H394" i="1" s="1"/>
  <c r="H393" i="1" a="1"/>
  <c r="H393" i="1" s="1"/>
  <c r="H392" i="1" a="1"/>
  <c r="H392" i="1" s="1"/>
  <c r="H391" i="1" a="1"/>
  <c r="H391" i="1" s="1"/>
  <c r="H390" i="1" a="1"/>
  <c r="H390" i="1" s="1"/>
  <c r="H389" i="1" a="1"/>
  <c r="H389" i="1" s="1"/>
  <c r="H388" i="1" a="1"/>
  <c r="H388" i="1" s="1"/>
  <c r="H387" i="1" a="1"/>
  <c r="H387" i="1" s="1"/>
  <c r="H386" i="1" a="1"/>
  <c r="H386" i="1" s="1"/>
  <c r="H385" i="1" a="1"/>
  <c r="H385" i="1" s="1"/>
  <c r="H384" i="1" a="1"/>
  <c r="H384" i="1" s="1"/>
  <c r="H383" i="1" a="1"/>
  <c r="H383" i="1" s="1"/>
  <c r="H382" i="1" a="1"/>
  <c r="H382" i="1" s="1"/>
  <c r="H381" i="1" a="1"/>
  <c r="H381" i="1" s="1"/>
  <c r="H380" i="1" a="1"/>
  <c r="H380" i="1" s="1"/>
  <c r="H379" i="1" a="1"/>
  <c r="H379" i="1" s="1"/>
  <c r="H378" i="1" a="1"/>
  <c r="H378" i="1" s="1"/>
  <c r="H377" i="1" a="1"/>
  <c r="H377" i="1" s="1"/>
  <c r="H376" i="1" a="1"/>
  <c r="H376" i="1" s="1"/>
  <c r="H375" i="1" a="1"/>
  <c r="H375" i="1" s="1"/>
  <c r="H374" i="1" a="1"/>
  <c r="H374" i="1" s="1"/>
  <c r="H373" i="1" a="1"/>
  <c r="H373" i="1" s="1"/>
  <c r="H372" i="1" a="1"/>
  <c r="H372" i="1" s="1"/>
  <c r="H371" i="1" a="1"/>
  <c r="H371" i="1" s="1"/>
  <c r="H370" i="1" a="1"/>
  <c r="H370" i="1" s="1"/>
  <c r="H369" i="1" a="1"/>
  <c r="H369" i="1" s="1"/>
  <c r="H368" i="1" a="1"/>
  <c r="H368" i="1" s="1"/>
  <c r="H367" i="1" a="1"/>
  <c r="H367" i="1" s="1"/>
  <c r="H366" i="1" a="1"/>
  <c r="H366" i="1" s="1"/>
  <c r="H365" i="1" a="1"/>
  <c r="H365" i="1" s="1"/>
  <c r="H364" i="1" a="1"/>
  <c r="H364" i="1" s="1"/>
  <c r="H363" i="1" a="1"/>
  <c r="H363" i="1" s="1"/>
  <c r="H362" i="1" a="1"/>
  <c r="H362" i="1" s="1"/>
  <c r="H361" i="1" a="1"/>
  <c r="H361" i="1" s="1"/>
  <c r="H360" i="1" a="1"/>
  <c r="H360" i="1" s="1"/>
  <c r="H359" i="1" a="1"/>
  <c r="H359" i="1" s="1"/>
  <c r="H358" i="1" a="1"/>
  <c r="H358" i="1" s="1"/>
  <c r="H357" i="1" a="1"/>
  <c r="H357" i="1" s="1"/>
  <c r="H356" i="1" a="1"/>
  <c r="H356" i="1" s="1"/>
  <c r="H355" i="1" a="1"/>
  <c r="H355" i="1" s="1"/>
  <c r="H354" i="1" a="1"/>
  <c r="H354" i="1" s="1"/>
  <c r="H353" i="1" a="1"/>
  <c r="H353" i="1" s="1"/>
  <c r="H352" i="1" a="1"/>
  <c r="H352" i="1" s="1"/>
  <c r="H351" i="1" a="1"/>
  <c r="H351" i="1" s="1"/>
  <c r="H350" i="1" a="1"/>
  <c r="H350" i="1" s="1"/>
  <c r="H349" i="1" a="1"/>
  <c r="H349" i="1" s="1"/>
  <c r="H348" i="1" a="1"/>
  <c r="H348" i="1" s="1"/>
  <c r="H347" i="1" a="1"/>
  <c r="H347" i="1" s="1"/>
  <c r="H346" i="1" a="1"/>
  <c r="H346" i="1" s="1"/>
  <c r="H345" i="1" a="1"/>
  <c r="H345" i="1" s="1"/>
  <c r="H344" i="1" a="1"/>
  <c r="H344" i="1" s="1"/>
  <c r="H343" i="1" a="1"/>
  <c r="H343" i="1" s="1"/>
  <c r="H342" i="1" a="1"/>
  <c r="H342" i="1" s="1"/>
  <c r="H341" i="1" a="1"/>
  <c r="H341" i="1" s="1"/>
  <c r="H340" i="1" a="1"/>
  <c r="H340" i="1" s="1"/>
  <c r="H339" i="1" a="1"/>
  <c r="H339" i="1" s="1"/>
  <c r="H338" i="1" a="1"/>
  <c r="H338" i="1" s="1"/>
  <c r="H337" i="1" a="1"/>
  <c r="H337" i="1" s="1"/>
  <c r="H336" i="1" a="1"/>
  <c r="H336" i="1" s="1"/>
  <c r="H335" i="1" a="1"/>
  <c r="H335" i="1" s="1"/>
  <c r="H334" i="1" a="1"/>
  <c r="H334" i="1" s="1"/>
  <c r="H333" i="1" a="1"/>
  <c r="H333" i="1" s="1"/>
  <c r="H332" i="1" a="1"/>
  <c r="H332" i="1" s="1"/>
  <c r="H331" i="1" a="1"/>
  <c r="H331" i="1" s="1"/>
  <c r="H330" i="1" a="1"/>
  <c r="H330" i="1" s="1"/>
  <c r="H329" i="1" a="1"/>
  <c r="H329" i="1" s="1"/>
  <c r="H328" i="1" a="1"/>
  <c r="H328" i="1" s="1"/>
  <c r="H327" i="1" a="1"/>
  <c r="H327" i="1" s="1"/>
  <c r="H326" i="1" a="1"/>
  <c r="H326" i="1" s="1"/>
  <c r="H325" i="1" a="1"/>
  <c r="H325" i="1" s="1"/>
  <c r="H324" i="1" a="1"/>
  <c r="H324" i="1" s="1"/>
  <c r="H323" i="1" a="1"/>
  <c r="H323" i="1" s="1"/>
  <c r="H322" i="1" a="1"/>
  <c r="H322" i="1" s="1"/>
  <c r="H321" i="1" a="1"/>
  <c r="H321" i="1" s="1"/>
  <c r="H320" i="1" a="1"/>
  <c r="H320" i="1" s="1"/>
  <c r="H319" i="1" a="1"/>
  <c r="H319" i="1" s="1"/>
  <c r="H318" i="1" a="1"/>
  <c r="H318" i="1" s="1"/>
  <c r="H317" i="1" a="1"/>
  <c r="H317" i="1" s="1"/>
  <c r="H316" i="1" a="1"/>
  <c r="H316" i="1" s="1"/>
  <c r="H315" i="1" a="1"/>
  <c r="H315" i="1" s="1"/>
  <c r="H314" i="1" a="1"/>
  <c r="H314" i="1" s="1"/>
  <c r="H313" i="1" a="1"/>
  <c r="H313" i="1" s="1"/>
  <c r="H312" i="1" a="1"/>
  <c r="H312" i="1" s="1"/>
  <c r="H311" i="1" a="1"/>
  <c r="H311" i="1" s="1"/>
  <c r="H310" i="1" a="1"/>
  <c r="H310" i="1" s="1"/>
  <c r="H309" i="1" a="1"/>
  <c r="H309" i="1" s="1"/>
  <c r="H308" i="1" a="1"/>
  <c r="H308" i="1" s="1"/>
  <c r="H307" i="1" a="1"/>
  <c r="H307" i="1" s="1"/>
  <c r="H306" i="1" a="1"/>
  <c r="H306" i="1" s="1"/>
  <c r="H305" i="1" a="1"/>
  <c r="H305" i="1" s="1"/>
  <c r="H304" i="1" a="1"/>
  <c r="H304" i="1" s="1"/>
  <c r="H303" i="1" a="1"/>
  <c r="H303" i="1" s="1"/>
  <c r="H302" i="1" a="1"/>
  <c r="H302" i="1" s="1"/>
  <c r="H301" i="1" a="1"/>
  <c r="H301" i="1" s="1"/>
  <c r="H300" i="1" a="1"/>
  <c r="H300" i="1" s="1"/>
  <c r="H299" i="1" a="1"/>
  <c r="H299" i="1" s="1"/>
  <c r="H298" i="1" a="1"/>
  <c r="H298" i="1" s="1"/>
  <c r="H297" i="1" a="1"/>
  <c r="H297" i="1" s="1"/>
  <c r="H296" i="1" a="1"/>
  <c r="H296" i="1" s="1"/>
  <c r="H295" i="1" a="1"/>
  <c r="H295" i="1" s="1"/>
  <c r="H294" i="1" a="1"/>
  <c r="H294" i="1" s="1"/>
  <c r="H293" i="1" a="1"/>
  <c r="H293" i="1" s="1"/>
  <c r="H292" i="1" a="1"/>
  <c r="H292" i="1" s="1"/>
  <c r="H291" i="1" a="1"/>
  <c r="H291" i="1" s="1"/>
  <c r="H290" i="1" a="1"/>
  <c r="H290" i="1" s="1"/>
  <c r="H289" i="1" a="1"/>
  <c r="H289" i="1" s="1"/>
  <c r="H288" i="1" a="1"/>
  <c r="H288" i="1" s="1"/>
  <c r="H287" i="1" a="1"/>
  <c r="H287" i="1" s="1"/>
  <c r="H286" i="1" a="1"/>
  <c r="H286" i="1" s="1"/>
  <c r="H285" i="1" a="1"/>
  <c r="H285" i="1" s="1"/>
  <c r="H284" i="1" a="1"/>
  <c r="H284" i="1" s="1"/>
  <c r="H283" i="1" a="1"/>
  <c r="H283" i="1" s="1"/>
  <c r="H282" i="1" a="1"/>
  <c r="H282" i="1" s="1"/>
  <c r="H281" i="1" a="1"/>
  <c r="H281" i="1" s="1"/>
  <c r="H280" i="1" a="1"/>
  <c r="H280" i="1" s="1"/>
  <c r="H279" i="1" a="1"/>
  <c r="H279" i="1" s="1"/>
  <c r="H278" i="1" a="1"/>
  <c r="H278" i="1" s="1"/>
  <c r="H277" i="1" a="1"/>
  <c r="H277" i="1" s="1"/>
  <c r="H276" i="1" a="1"/>
  <c r="H276" i="1" s="1"/>
  <c r="H275" i="1" a="1"/>
  <c r="H275" i="1" s="1"/>
  <c r="H274" i="1" a="1"/>
  <c r="H274" i="1" s="1"/>
  <c r="H273" i="1" a="1"/>
  <c r="H273" i="1" s="1"/>
  <c r="H272" i="1" a="1"/>
  <c r="H272" i="1" s="1"/>
  <c r="H271" i="1" a="1"/>
  <c r="H271" i="1" s="1"/>
  <c r="H270" i="1" a="1"/>
  <c r="H270" i="1" s="1"/>
  <c r="H269" i="1" a="1"/>
  <c r="H269" i="1" s="1"/>
  <c r="H268" i="1" a="1"/>
  <c r="H268" i="1" s="1"/>
  <c r="H267" i="1" a="1"/>
  <c r="H267" i="1" s="1"/>
  <c r="H266" i="1" a="1"/>
  <c r="H266" i="1" s="1"/>
  <c r="H265" i="1" a="1"/>
  <c r="H265" i="1" s="1"/>
  <c r="H264" i="1" a="1"/>
  <c r="H264" i="1" s="1"/>
  <c r="H263" i="1" a="1"/>
  <c r="H263" i="1" s="1"/>
  <c r="H262" i="1" a="1"/>
  <c r="H262" i="1" s="1"/>
  <c r="H261" i="1" a="1"/>
  <c r="H261" i="1" s="1"/>
  <c r="H260" i="1" a="1"/>
  <c r="H260" i="1" s="1"/>
  <c r="H259" i="1" a="1"/>
  <c r="H259" i="1" s="1"/>
  <c r="H258" i="1" a="1"/>
  <c r="H258" i="1" s="1"/>
  <c r="H257" i="1" a="1"/>
  <c r="H257" i="1" s="1"/>
  <c r="H256" i="1" a="1"/>
  <c r="H256" i="1" s="1"/>
  <c r="H255" i="1" a="1"/>
  <c r="H255" i="1" s="1"/>
  <c r="H254" i="1" a="1"/>
  <c r="H254" i="1" s="1"/>
  <c r="H253" i="1" a="1"/>
  <c r="H253" i="1" s="1"/>
  <c r="H252" i="1" a="1"/>
  <c r="H252" i="1" s="1"/>
  <c r="H251" i="1" a="1"/>
  <c r="H251" i="1" s="1"/>
  <c r="H250" i="1" a="1"/>
  <c r="H250" i="1" s="1"/>
  <c r="H249" i="1" a="1"/>
  <c r="H249" i="1" s="1"/>
  <c r="H248" i="1" a="1"/>
  <c r="H248" i="1" s="1"/>
  <c r="H247" i="1" a="1"/>
  <c r="H247" i="1" s="1"/>
  <c r="H246" i="1" a="1"/>
  <c r="H246" i="1" s="1"/>
  <c r="H245" i="1" a="1"/>
  <c r="H245" i="1" s="1"/>
  <c r="H244" i="1" a="1"/>
  <c r="H244" i="1" s="1"/>
  <c r="H243" i="1" a="1"/>
  <c r="H243" i="1" s="1"/>
  <c r="H242" i="1" a="1"/>
  <c r="H242" i="1" s="1"/>
  <c r="H241" i="1" a="1"/>
  <c r="H241" i="1" s="1"/>
  <c r="H240" i="1" a="1"/>
  <c r="H240" i="1" s="1"/>
  <c r="H239" i="1" a="1"/>
  <c r="H239" i="1" s="1"/>
  <c r="H238" i="1" a="1"/>
  <c r="H238" i="1" s="1"/>
  <c r="H237" i="1" a="1"/>
  <c r="H237" i="1" s="1"/>
  <c r="H236" i="1" a="1"/>
  <c r="H236" i="1" s="1"/>
  <c r="H235" i="1" a="1"/>
  <c r="H235" i="1" s="1"/>
  <c r="H234" i="1" a="1"/>
  <c r="H234" i="1" s="1"/>
  <c r="H233" i="1" a="1"/>
  <c r="H233" i="1" s="1"/>
  <c r="H232" i="1" a="1"/>
  <c r="H232" i="1" s="1"/>
  <c r="H231" i="1" a="1"/>
  <c r="H231" i="1" s="1"/>
  <c r="H230" i="1" a="1"/>
  <c r="H230" i="1" s="1"/>
  <c r="H229" i="1" a="1"/>
  <c r="H229" i="1" s="1"/>
  <c r="H228" i="1" a="1"/>
  <c r="H228" i="1" s="1"/>
  <c r="H227" i="1" a="1"/>
  <c r="H227" i="1" s="1"/>
  <c r="H226" i="1" a="1"/>
  <c r="H226" i="1" s="1"/>
  <c r="H225" i="1" a="1"/>
  <c r="H225" i="1" s="1"/>
  <c r="H224" i="1" a="1"/>
  <c r="H224" i="1" s="1"/>
  <c r="H223" i="1" a="1"/>
  <c r="H223" i="1" s="1"/>
  <c r="H222" i="1" a="1"/>
  <c r="H222" i="1" s="1"/>
  <c r="H221" i="1" a="1"/>
  <c r="H221" i="1" s="1"/>
  <c r="H220" i="1" a="1"/>
  <c r="H220" i="1" s="1"/>
  <c r="H219" i="1" a="1"/>
  <c r="H219" i="1" s="1"/>
  <c r="H218" i="1" a="1"/>
  <c r="H218" i="1" s="1"/>
  <c r="H217" i="1" a="1"/>
  <c r="H217" i="1" s="1"/>
  <c r="H216" i="1" a="1"/>
  <c r="H216" i="1" s="1"/>
  <c r="H215" i="1" a="1"/>
  <c r="H215" i="1" s="1"/>
  <c r="H214" i="1" a="1"/>
  <c r="H214" i="1" s="1"/>
  <c r="H213" i="1" a="1"/>
  <c r="H213" i="1" s="1"/>
  <c r="H212" i="1" a="1"/>
  <c r="H212" i="1" s="1"/>
  <c r="H211" i="1" a="1"/>
  <c r="H211" i="1" s="1"/>
  <c r="H210" i="1" a="1"/>
  <c r="H210" i="1" s="1"/>
  <c r="H209" i="1" a="1"/>
  <c r="H209" i="1" s="1"/>
  <c r="H208" i="1" a="1"/>
  <c r="H208" i="1" s="1"/>
  <c r="H207" i="1" a="1"/>
  <c r="H207" i="1" s="1"/>
  <c r="H206" i="1" a="1"/>
  <c r="H206" i="1" s="1"/>
  <c r="H205" i="1" a="1"/>
  <c r="H205" i="1" s="1"/>
  <c r="H204" i="1" a="1"/>
  <c r="H204" i="1" s="1"/>
  <c r="H203" i="1" a="1"/>
  <c r="H203" i="1" s="1"/>
  <c r="H202" i="1" a="1"/>
  <c r="H202" i="1" s="1"/>
  <c r="H201" i="1" a="1"/>
  <c r="H201" i="1" s="1"/>
  <c r="H200" i="1" a="1"/>
  <c r="H200" i="1" s="1"/>
  <c r="H199" i="1" a="1"/>
  <c r="H199" i="1" s="1"/>
  <c r="H198" i="1" a="1"/>
  <c r="H198" i="1" s="1"/>
  <c r="H197" i="1" a="1"/>
  <c r="H197" i="1" s="1"/>
  <c r="H196" i="1" a="1"/>
  <c r="H196" i="1" s="1"/>
  <c r="H195" i="1" a="1"/>
  <c r="H195" i="1" s="1"/>
  <c r="H194" i="1" a="1"/>
  <c r="H194" i="1" s="1"/>
  <c r="H193" i="1" a="1"/>
  <c r="H193" i="1" s="1"/>
  <c r="H192" i="1" a="1"/>
  <c r="H192" i="1" s="1"/>
  <c r="H191" i="1" a="1"/>
  <c r="H191" i="1" s="1"/>
  <c r="H190" i="1" a="1"/>
  <c r="H190" i="1" s="1"/>
  <c r="H189" i="1" a="1"/>
  <c r="H189" i="1" s="1"/>
  <c r="H188" i="1" a="1"/>
  <c r="H188" i="1" s="1"/>
  <c r="H187" i="1" a="1"/>
  <c r="H187" i="1" s="1"/>
  <c r="H186" i="1" a="1"/>
  <c r="H186" i="1" s="1"/>
  <c r="H185" i="1" a="1"/>
  <c r="H185" i="1" s="1"/>
  <c r="H184" i="1" a="1"/>
  <c r="H184" i="1" s="1"/>
  <c r="H183" i="1" a="1"/>
  <c r="H183" i="1" s="1"/>
  <c r="H182" i="1" a="1"/>
  <c r="H182" i="1" s="1"/>
  <c r="H181" i="1" a="1"/>
  <c r="H181" i="1" s="1"/>
  <c r="H180" i="1" a="1"/>
  <c r="H180" i="1" s="1"/>
  <c r="H179" i="1" a="1"/>
  <c r="H179" i="1" s="1"/>
  <c r="H178" i="1" a="1"/>
  <c r="H178" i="1" s="1"/>
  <c r="H177" i="1" a="1"/>
  <c r="H177" i="1" s="1"/>
  <c r="H176" i="1" a="1"/>
  <c r="H176" i="1" s="1"/>
  <c r="H175" i="1" a="1"/>
  <c r="H175" i="1" s="1"/>
  <c r="H174" i="1" a="1"/>
  <c r="H174" i="1" s="1"/>
  <c r="H173" i="1" a="1"/>
  <c r="H173" i="1" s="1"/>
  <c r="H172" i="1" a="1"/>
  <c r="H172" i="1" s="1"/>
  <c r="H171" i="1" a="1"/>
  <c r="H171" i="1" s="1"/>
  <c r="H170" i="1" a="1"/>
  <c r="H170" i="1" s="1"/>
  <c r="H169" i="1" a="1"/>
  <c r="H169" i="1" s="1"/>
  <c r="H168" i="1" a="1"/>
  <c r="H168" i="1" s="1"/>
  <c r="H167" i="1" a="1"/>
  <c r="H167" i="1" s="1"/>
  <c r="H166" i="1" a="1"/>
  <c r="H166" i="1" s="1"/>
  <c r="H165" i="1" a="1"/>
  <c r="H165" i="1" s="1"/>
  <c r="H164" i="1" a="1"/>
  <c r="H164" i="1" s="1"/>
  <c r="H163" i="1" a="1"/>
  <c r="H163" i="1" s="1"/>
  <c r="H162" i="1" a="1"/>
  <c r="H162" i="1" s="1"/>
  <c r="H161" i="1" a="1"/>
  <c r="H161" i="1" s="1"/>
  <c r="H160" i="1" a="1"/>
  <c r="H160" i="1" s="1"/>
  <c r="H159" i="1" a="1"/>
  <c r="H159" i="1" s="1"/>
  <c r="H158" i="1" a="1"/>
  <c r="H158" i="1" s="1"/>
  <c r="H157" i="1" a="1"/>
  <c r="H157" i="1" s="1"/>
  <c r="H156" i="1" a="1"/>
  <c r="H156" i="1" s="1"/>
  <c r="H155" i="1" a="1"/>
  <c r="H155" i="1" s="1"/>
  <c r="H154" i="1" a="1"/>
  <c r="H154" i="1" s="1"/>
  <c r="H153" i="1" a="1"/>
  <c r="H153" i="1" s="1"/>
  <c r="H152" i="1" a="1"/>
  <c r="H152" i="1" s="1"/>
  <c r="H151" i="1" a="1"/>
  <c r="H151" i="1" s="1"/>
  <c r="H150" i="1" a="1"/>
  <c r="H150" i="1" s="1"/>
  <c r="H149" i="1" a="1"/>
  <c r="H149" i="1" s="1"/>
  <c r="H148" i="1" a="1"/>
  <c r="H148" i="1" s="1"/>
  <c r="H147" i="1" a="1"/>
  <c r="H147" i="1" s="1"/>
  <c r="H146" i="1" a="1"/>
  <c r="H146" i="1" s="1"/>
  <c r="H145" i="1" a="1"/>
  <c r="H145" i="1" s="1"/>
  <c r="H144" i="1" a="1"/>
  <c r="H144" i="1" s="1"/>
  <c r="H143" i="1" a="1"/>
  <c r="H143" i="1" s="1"/>
  <c r="H142" i="1" a="1"/>
  <c r="H142" i="1" s="1"/>
  <c r="H141" i="1" a="1"/>
  <c r="H141" i="1" s="1"/>
  <c r="H140" i="1" a="1"/>
  <c r="H140" i="1" s="1"/>
  <c r="H139" i="1" a="1"/>
  <c r="H139" i="1" s="1"/>
  <c r="H138" i="1" a="1"/>
  <c r="H138" i="1" s="1"/>
  <c r="H137" i="1" a="1"/>
  <c r="H137" i="1" s="1"/>
  <c r="H136" i="1" a="1"/>
  <c r="H136" i="1" s="1"/>
  <c r="H135" i="1" a="1"/>
  <c r="H135" i="1" s="1"/>
  <c r="H134" i="1" a="1"/>
  <c r="H134" i="1" s="1"/>
  <c r="H133" i="1" a="1"/>
  <c r="H133" i="1" s="1"/>
  <c r="H132" i="1" a="1"/>
  <c r="H132" i="1" s="1"/>
  <c r="H131" i="1" a="1"/>
  <c r="H131" i="1" s="1"/>
  <c r="H130" i="1" a="1"/>
  <c r="H130" i="1" s="1"/>
  <c r="H129" i="1" a="1"/>
  <c r="H129" i="1" s="1"/>
  <c r="H128" i="1" a="1"/>
  <c r="H128" i="1" s="1"/>
  <c r="H127" i="1" a="1"/>
  <c r="H127" i="1" s="1"/>
  <c r="H126" i="1" a="1"/>
  <c r="H126" i="1" s="1"/>
  <c r="H125" i="1" a="1"/>
  <c r="H125" i="1" s="1"/>
  <c r="H124" i="1" a="1"/>
  <c r="H124" i="1" s="1"/>
  <c r="H123" i="1" a="1"/>
  <c r="H123" i="1" s="1"/>
  <c r="H122" i="1" a="1"/>
  <c r="H122" i="1" s="1"/>
  <c r="H121" i="1" a="1"/>
  <c r="H121" i="1" s="1"/>
  <c r="H120" i="1" a="1"/>
  <c r="H120" i="1" s="1"/>
  <c r="H119" i="1" a="1"/>
  <c r="H119" i="1" s="1"/>
  <c r="H118" i="1" a="1"/>
  <c r="H118" i="1" s="1"/>
  <c r="H117" i="1" a="1"/>
  <c r="H117" i="1" s="1"/>
  <c r="H116" i="1" a="1"/>
  <c r="H116" i="1" s="1"/>
  <c r="H115" i="1" a="1"/>
  <c r="H115" i="1" s="1"/>
  <c r="H114" i="1" a="1"/>
  <c r="H114" i="1" s="1"/>
  <c r="H113" i="1" a="1"/>
  <c r="H113" i="1" s="1"/>
  <c r="H112" i="1" a="1"/>
  <c r="H112" i="1" s="1"/>
  <c r="H111" i="1" a="1"/>
  <c r="H111" i="1" s="1"/>
  <c r="H110" i="1" a="1"/>
  <c r="H110" i="1" s="1"/>
  <c r="H109" i="1" a="1"/>
  <c r="H109" i="1" s="1"/>
  <c r="H108" i="1" a="1"/>
  <c r="H108" i="1" s="1"/>
  <c r="H107" i="1" a="1"/>
  <c r="H107" i="1" s="1"/>
  <c r="H106" i="1" a="1"/>
  <c r="H106" i="1" s="1"/>
  <c r="H105" i="1" a="1"/>
  <c r="H105" i="1" s="1"/>
  <c r="H104" i="1" a="1"/>
  <c r="H104" i="1" s="1"/>
  <c r="H103" i="1" a="1"/>
  <c r="H103" i="1" s="1"/>
  <c r="H102" i="1" a="1"/>
  <c r="H102" i="1" s="1"/>
  <c r="H101" i="1" a="1"/>
  <c r="H101" i="1" s="1"/>
  <c r="H100" i="1" a="1"/>
  <c r="H100" i="1" s="1"/>
  <c r="H99" i="1" a="1"/>
  <c r="H99" i="1" s="1"/>
  <c r="H98" i="1" a="1"/>
  <c r="H98" i="1" s="1"/>
  <c r="H97" i="1" a="1"/>
  <c r="H97" i="1" s="1"/>
  <c r="H96" i="1" a="1"/>
  <c r="H96" i="1" s="1"/>
  <c r="H95" i="1" a="1"/>
  <c r="H95" i="1" s="1"/>
  <c r="H94" i="1" a="1"/>
  <c r="H94" i="1" s="1"/>
  <c r="H93" i="1" a="1"/>
  <c r="H93" i="1" s="1"/>
  <c r="H92" i="1" a="1"/>
  <c r="H92" i="1" s="1"/>
  <c r="H91" i="1" a="1"/>
  <c r="H91" i="1" s="1"/>
  <c r="H90" i="1" a="1"/>
  <c r="H90" i="1" s="1"/>
  <c r="H89" i="1" a="1"/>
  <c r="H89" i="1" s="1"/>
  <c r="H88" i="1" a="1"/>
  <c r="H88" i="1" s="1"/>
  <c r="H87" i="1" a="1"/>
  <c r="H87" i="1" s="1"/>
  <c r="H86" i="1" a="1"/>
  <c r="H86" i="1" s="1"/>
  <c r="H85" i="1" a="1"/>
  <c r="H85" i="1" s="1"/>
  <c r="H84" i="1" a="1"/>
  <c r="H84" i="1" s="1"/>
  <c r="H83" i="1" a="1"/>
  <c r="H83" i="1" s="1"/>
  <c r="H82" i="1" a="1"/>
  <c r="H82" i="1" s="1"/>
  <c r="H81" i="1" a="1"/>
  <c r="H81" i="1" s="1"/>
  <c r="H80" i="1" a="1"/>
  <c r="H80" i="1" s="1"/>
  <c r="H79" i="1" a="1"/>
  <c r="H79" i="1" s="1"/>
  <c r="H78" i="1" a="1"/>
  <c r="H78" i="1" s="1"/>
  <c r="H77" i="1" a="1"/>
  <c r="H77" i="1" s="1"/>
  <c r="H76" i="1" a="1"/>
  <c r="H76" i="1" s="1"/>
  <c r="H75" i="1" a="1"/>
  <c r="H75" i="1" s="1"/>
  <c r="H74" i="1" a="1"/>
  <c r="H74" i="1" s="1"/>
  <c r="H73" i="1" a="1"/>
  <c r="H73" i="1" s="1"/>
  <c r="H72" i="1" a="1"/>
  <c r="H72" i="1" s="1"/>
  <c r="H71" i="1" a="1"/>
  <c r="H71" i="1" s="1"/>
  <c r="H70" i="1" a="1"/>
  <c r="H70" i="1" s="1"/>
  <c r="H69" i="1" a="1"/>
  <c r="H69" i="1" s="1"/>
  <c r="H68" i="1" a="1"/>
  <c r="H68" i="1" s="1"/>
  <c r="H67" i="1" a="1"/>
  <c r="H67" i="1" s="1"/>
  <c r="H66" i="1" a="1"/>
  <c r="H66" i="1" s="1"/>
  <c r="H65" i="1" a="1"/>
  <c r="H65" i="1" s="1"/>
  <c r="H64" i="1" a="1"/>
  <c r="H64" i="1" s="1"/>
  <c r="H63" i="1" a="1"/>
  <c r="H63" i="1" s="1"/>
  <c r="H62" i="1" a="1"/>
  <c r="H62" i="1" s="1"/>
  <c r="H61" i="1" a="1"/>
  <c r="H61" i="1" s="1"/>
  <c r="H60" i="1" a="1"/>
  <c r="H60" i="1" s="1"/>
  <c r="H59" i="1" a="1"/>
  <c r="H59" i="1" s="1"/>
  <c r="H58" i="1" a="1"/>
  <c r="H58" i="1" s="1"/>
  <c r="H57" i="1" a="1"/>
  <c r="H57" i="1" s="1"/>
  <c r="H56" i="1" a="1"/>
  <c r="H56" i="1" s="1"/>
  <c r="H55" i="1" a="1"/>
  <c r="H55" i="1" s="1"/>
  <c r="H54" i="1" a="1"/>
  <c r="H54" i="1" s="1"/>
  <c r="H53" i="1" a="1"/>
  <c r="H53" i="1" s="1"/>
  <c r="H52" i="1" a="1"/>
  <c r="H52" i="1" s="1"/>
  <c r="H51" i="1" a="1"/>
  <c r="H51" i="1" s="1"/>
  <c r="H50" i="1" a="1"/>
  <c r="H50" i="1" s="1"/>
  <c r="H49" i="1" a="1"/>
  <c r="H49" i="1" s="1"/>
  <c r="H48" i="1" a="1"/>
  <c r="H48" i="1" s="1"/>
  <c r="H47" i="1" a="1"/>
  <c r="H47" i="1" s="1"/>
  <c r="H46" i="1" a="1"/>
  <c r="H46" i="1" s="1"/>
  <c r="H45" i="1" a="1"/>
  <c r="H45" i="1" s="1"/>
  <c r="H44" i="1" a="1"/>
  <c r="H44" i="1" s="1"/>
  <c r="H43" i="1" a="1"/>
  <c r="H43" i="1" s="1"/>
  <c r="H42" i="1" a="1"/>
  <c r="H42" i="1" s="1"/>
  <c r="H41" i="1" a="1"/>
  <c r="H41" i="1" s="1"/>
  <c r="H40" i="1" a="1"/>
  <c r="H40" i="1" s="1"/>
  <c r="H39" i="1" a="1"/>
  <c r="H39" i="1" s="1"/>
  <c r="H38" i="1" a="1"/>
  <c r="H38" i="1" s="1"/>
  <c r="H37" i="1" a="1"/>
  <c r="H37" i="1" s="1"/>
  <c r="H36" i="1" a="1"/>
  <c r="H36" i="1" s="1"/>
  <c r="H35" i="1" a="1"/>
  <c r="H35" i="1" s="1"/>
  <c r="H34" i="1" a="1"/>
  <c r="H34" i="1" s="1"/>
  <c r="H33" i="1" a="1"/>
  <c r="H33" i="1" s="1"/>
  <c r="H32" i="1" a="1"/>
  <c r="H32" i="1" s="1"/>
  <c r="H31" i="1" a="1"/>
  <c r="H31" i="1" s="1"/>
  <c r="H30" i="1" a="1"/>
  <c r="H30" i="1" s="1"/>
  <c r="H29" i="1" a="1"/>
  <c r="H29" i="1" s="1"/>
  <c r="H28" i="1" a="1"/>
  <c r="H28" i="1" s="1"/>
  <c r="H27" i="1" a="1"/>
  <c r="H27" i="1" s="1"/>
  <c r="H26" i="1" a="1"/>
  <c r="H26" i="1" s="1"/>
  <c r="H25" i="1" a="1"/>
  <c r="H25" i="1" s="1"/>
  <c r="H24" i="1" a="1"/>
  <c r="H24" i="1" s="1"/>
  <c r="H23" i="1" a="1"/>
  <c r="H23" i="1" s="1"/>
  <c r="H22" i="1" a="1"/>
  <c r="H22" i="1" s="1"/>
  <c r="H21" i="1" a="1"/>
  <c r="H21" i="1" s="1"/>
  <c r="H20" i="1" a="1"/>
  <c r="H20" i="1" s="1"/>
  <c r="H19" i="1" a="1"/>
  <c r="H19" i="1" s="1"/>
  <c r="H18" i="1" a="1"/>
  <c r="H18" i="1" s="1"/>
  <c r="H17" i="1" a="1"/>
  <c r="H17" i="1" s="1"/>
  <c r="H16" i="1" a="1"/>
  <c r="H16" i="1" s="1"/>
  <c r="H15" i="1" a="1"/>
  <c r="H15" i="1" s="1"/>
  <c r="H14" i="1" a="1"/>
  <c r="H14" i="1" s="1"/>
  <c r="H13" i="1" a="1"/>
  <c r="H13" i="1" s="1"/>
  <c r="H12" i="1" a="1"/>
  <c r="H12" i="1" s="1"/>
  <c r="H11" i="1" a="1"/>
  <c r="H11" i="1" s="1"/>
  <c r="H10" i="1" a="1"/>
  <c r="H10" i="1" s="1"/>
  <c r="H9" i="1" a="1"/>
  <c r="H9" i="1" s="1"/>
  <c r="H8" i="1" a="1"/>
  <c r="H8" i="1" s="1"/>
  <c r="H7" i="1" a="1"/>
  <c r="H7" i="1" s="1"/>
  <c r="H6" i="1" a="1"/>
  <c r="H6" i="1" s="1"/>
  <c r="H5" i="1" a="1"/>
  <c r="H5" i="1" s="1"/>
  <c r="H4" i="1" a="1"/>
  <c r="H4" i="1" s="1"/>
  <c r="H3" i="1" a="1"/>
  <c r="H3" i="1" s="1"/>
  <c r="H2" i="1" a="1"/>
  <c r="H2" i="1" s="1"/>
  <c r="B239" i="2"/>
  <c r="B501" i="2"/>
  <c r="A501" i="2"/>
  <c r="B500" i="2"/>
  <c r="E500" i="2" s="1"/>
  <c r="G500" i="1" s="1"/>
  <c r="A500" i="2"/>
  <c r="B499" i="2"/>
  <c r="E499" i="2" s="1"/>
  <c r="G499" i="1" s="1"/>
  <c r="A499" i="2"/>
  <c r="B498" i="2"/>
  <c r="E498" i="2" s="1"/>
  <c r="G498" i="1" s="1"/>
  <c r="A498" i="2"/>
  <c r="B497" i="2"/>
  <c r="E497" i="2" s="1"/>
  <c r="G497" i="1" s="1"/>
  <c r="A497" i="2"/>
  <c r="B496" i="2"/>
  <c r="E496" i="2" s="1"/>
  <c r="G496" i="1" s="1"/>
  <c r="A496" i="2"/>
  <c r="B495" i="2"/>
  <c r="E495" i="2" s="1"/>
  <c r="G495" i="1" s="1"/>
  <c r="A495" i="2"/>
  <c r="B494" i="2"/>
  <c r="E494" i="2" s="1"/>
  <c r="G494" i="1" s="1"/>
  <c r="A494" i="2"/>
  <c r="B493" i="2"/>
  <c r="E493" i="2" s="1"/>
  <c r="G493" i="1" s="1"/>
  <c r="A493" i="2"/>
  <c r="B492" i="2"/>
  <c r="E492" i="2" s="1"/>
  <c r="G492" i="1" s="1"/>
  <c r="A492" i="2"/>
  <c r="B491" i="2"/>
  <c r="E491" i="2" s="1"/>
  <c r="G491" i="1" s="1"/>
  <c r="A491" i="2"/>
  <c r="B490" i="2"/>
  <c r="E490" i="2" s="1"/>
  <c r="G490" i="1" s="1"/>
  <c r="A490" i="2"/>
  <c r="B489" i="2"/>
  <c r="E489" i="2" s="1"/>
  <c r="G489" i="1" s="1"/>
  <c r="A489" i="2"/>
  <c r="B488" i="2"/>
  <c r="E488" i="2" s="1"/>
  <c r="G488" i="1" s="1"/>
  <c r="A488" i="2"/>
  <c r="B487" i="2"/>
  <c r="E487" i="2" s="1"/>
  <c r="G487" i="1" s="1"/>
  <c r="A487" i="2"/>
  <c r="B486" i="2"/>
  <c r="E486" i="2" s="1"/>
  <c r="G486" i="1" s="1"/>
  <c r="A486" i="2"/>
  <c r="B485" i="2"/>
  <c r="E485" i="2" s="1"/>
  <c r="G485" i="1" s="1"/>
  <c r="A485" i="2"/>
  <c r="B484" i="2"/>
  <c r="A484" i="2"/>
  <c r="B483" i="2"/>
  <c r="E483" i="2" s="1"/>
  <c r="G483" i="1" s="1"/>
  <c r="A483" i="2"/>
  <c r="B482" i="2"/>
  <c r="E482" i="2" s="1"/>
  <c r="G482" i="1" s="1"/>
  <c r="A482" i="2"/>
  <c r="B481" i="2"/>
  <c r="E481" i="2" s="1"/>
  <c r="G481" i="1" s="1"/>
  <c r="A481" i="2"/>
  <c r="B480" i="2"/>
  <c r="E480" i="2" s="1"/>
  <c r="G480" i="1" s="1"/>
  <c r="A480" i="2"/>
  <c r="B479" i="2"/>
  <c r="E479" i="2" s="1"/>
  <c r="G479" i="1" s="1"/>
  <c r="A479" i="2"/>
  <c r="B478" i="2"/>
  <c r="E478" i="2" s="1"/>
  <c r="G478" i="1" s="1"/>
  <c r="A478" i="2"/>
  <c r="B477" i="2"/>
  <c r="E477" i="2" s="1"/>
  <c r="G477" i="1" s="1"/>
  <c r="A477" i="2"/>
  <c r="B476" i="2"/>
  <c r="A476" i="2"/>
  <c r="B475" i="2"/>
  <c r="E475" i="2" s="1"/>
  <c r="G475" i="1" s="1"/>
  <c r="A475" i="2"/>
  <c r="B474" i="2"/>
  <c r="E474" i="2" s="1"/>
  <c r="G474" i="1" s="1"/>
  <c r="A474" i="2"/>
  <c r="B473" i="2"/>
  <c r="E473" i="2" s="1"/>
  <c r="G473" i="1" s="1"/>
  <c r="A473" i="2"/>
  <c r="B472" i="2"/>
  <c r="E472" i="2" s="1"/>
  <c r="G472" i="1" s="1"/>
  <c r="A472" i="2"/>
  <c r="B471" i="2"/>
  <c r="E471" i="2" s="1"/>
  <c r="G471" i="1" s="1"/>
  <c r="A471" i="2"/>
  <c r="B470" i="2"/>
  <c r="A470" i="2"/>
  <c r="B469" i="2"/>
  <c r="E469" i="2" s="1"/>
  <c r="G469" i="1" s="1"/>
  <c r="A469" i="2"/>
  <c r="B468" i="2"/>
  <c r="E468" i="2" s="1"/>
  <c r="G468" i="1" s="1"/>
  <c r="A468" i="2"/>
  <c r="B467" i="2"/>
  <c r="E467" i="2" s="1"/>
  <c r="G467" i="1" s="1"/>
  <c r="A467" i="2"/>
  <c r="B466" i="2"/>
  <c r="E466" i="2" s="1"/>
  <c r="G466" i="1" s="1"/>
  <c r="A466" i="2"/>
  <c r="B465" i="2"/>
  <c r="E465" i="2" s="1"/>
  <c r="G465" i="1" s="1"/>
  <c r="A465" i="2"/>
  <c r="B464" i="2"/>
  <c r="E464" i="2" s="1"/>
  <c r="G464" i="1" s="1"/>
  <c r="A464" i="2"/>
  <c r="B463" i="2"/>
  <c r="E463" i="2" s="1"/>
  <c r="G463" i="1" s="1"/>
  <c r="A463" i="2"/>
  <c r="B462" i="2"/>
  <c r="E462" i="2" s="1"/>
  <c r="G462" i="1" s="1"/>
  <c r="A462" i="2"/>
  <c r="B461" i="2"/>
  <c r="E461" i="2" s="1"/>
  <c r="G461" i="1" s="1"/>
  <c r="A461" i="2"/>
  <c r="B460" i="2"/>
  <c r="E460" i="2" s="1"/>
  <c r="G460" i="1" s="1"/>
  <c r="A460" i="2"/>
  <c r="B459" i="2"/>
  <c r="E459" i="2" s="1"/>
  <c r="G459" i="1" s="1"/>
  <c r="A459" i="2"/>
  <c r="B458" i="2"/>
  <c r="E458" i="2" s="1"/>
  <c r="G458" i="1" s="1"/>
  <c r="A458" i="2"/>
  <c r="B457" i="2"/>
  <c r="E457" i="2" s="1"/>
  <c r="G457" i="1" s="1"/>
  <c r="A457" i="2"/>
  <c r="B456" i="2"/>
  <c r="E456" i="2" s="1"/>
  <c r="G456" i="1" s="1"/>
  <c r="A456" i="2"/>
  <c r="B455" i="2"/>
  <c r="E455" i="2" s="1"/>
  <c r="G455" i="1" s="1"/>
  <c r="A455" i="2"/>
  <c r="B454" i="2"/>
  <c r="E454" i="2" s="1"/>
  <c r="G454" i="1" s="1"/>
  <c r="A454" i="2"/>
  <c r="B453" i="2"/>
  <c r="E453" i="2" s="1"/>
  <c r="G453" i="1" s="1"/>
  <c r="A453" i="2"/>
  <c r="B452" i="2"/>
  <c r="E452" i="2" s="1"/>
  <c r="G452" i="1" s="1"/>
  <c r="A452" i="2"/>
  <c r="B451" i="2"/>
  <c r="A451" i="2"/>
  <c r="B450" i="2"/>
  <c r="A450" i="2"/>
  <c r="B449" i="2"/>
  <c r="E449" i="2" s="1"/>
  <c r="G449" i="1" s="1"/>
  <c r="A449" i="2"/>
  <c r="B448" i="2"/>
  <c r="E448" i="2" s="1"/>
  <c r="G448" i="1" s="1"/>
  <c r="A448" i="2"/>
  <c r="B447" i="2"/>
  <c r="E447" i="2" s="1"/>
  <c r="G447" i="1" s="1"/>
  <c r="A447" i="2"/>
  <c r="B446" i="2"/>
  <c r="E446" i="2" s="1"/>
  <c r="G446" i="1" s="1"/>
  <c r="A446" i="2"/>
  <c r="B445" i="2"/>
  <c r="E445" i="2" s="1"/>
  <c r="G445" i="1" s="1"/>
  <c r="A445" i="2"/>
  <c r="B444" i="2"/>
  <c r="E444" i="2" s="1"/>
  <c r="G444" i="1" s="1"/>
  <c r="A444" i="2"/>
  <c r="B443" i="2"/>
  <c r="A443" i="2"/>
  <c r="B442" i="2"/>
  <c r="E442" i="2" s="1"/>
  <c r="G442" i="1" s="1"/>
  <c r="A442" i="2"/>
  <c r="B441" i="2"/>
  <c r="E441" i="2" s="1"/>
  <c r="G441" i="1" s="1"/>
  <c r="A441" i="2"/>
  <c r="B440" i="2"/>
  <c r="E440" i="2" s="1"/>
  <c r="G440" i="1" s="1"/>
  <c r="A440" i="2"/>
  <c r="B439" i="2"/>
  <c r="E439" i="2" s="1"/>
  <c r="G439" i="1" s="1"/>
  <c r="A439" i="2"/>
  <c r="B438" i="2"/>
  <c r="E438" i="2" s="1"/>
  <c r="G438" i="1" s="1"/>
  <c r="A438" i="2"/>
  <c r="B437" i="2"/>
  <c r="E437" i="2" s="1"/>
  <c r="G437" i="1" s="1"/>
  <c r="A437" i="2"/>
  <c r="B436" i="2"/>
  <c r="E436" i="2" s="1"/>
  <c r="G436" i="1" s="1"/>
  <c r="A436" i="2"/>
  <c r="B435" i="2"/>
  <c r="E435" i="2" s="1"/>
  <c r="G435" i="1" s="1"/>
  <c r="A435" i="2"/>
  <c r="B434" i="2"/>
  <c r="A434" i="2"/>
  <c r="B433" i="2"/>
  <c r="E433" i="2" s="1"/>
  <c r="G433" i="1" s="1"/>
  <c r="A433" i="2"/>
  <c r="B432" i="2"/>
  <c r="E432" i="2" s="1"/>
  <c r="G432" i="1" s="1"/>
  <c r="A432" i="2"/>
  <c r="B431" i="2"/>
  <c r="E431" i="2" s="1"/>
  <c r="G431" i="1" s="1"/>
  <c r="A431" i="2"/>
  <c r="B430" i="2"/>
  <c r="E430" i="2" s="1"/>
  <c r="G430" i="1" s="1"/>
  <c r="A430" i="2"/>
  <c r="B429" i="2"/>
  <c r="E429" i="2" s="1"/>
  <c r="G429" i="1" s="1"/>
  <c r="A429" i="2"/>
  <c r="B428" i="2"/>
  <c r="E428" i="2" s="1"/>
  <c r="G428" i="1" s="1"/>
  <c r="A428" i="2"/>
  <c r="B427" i="2"/>
  <c r="E427" i="2" s="1"/>
  <c r="G427" i="1" s="1"/>
  <c r="A427" i="2"/>
  <c r="B426" i="2"/>
  <c r="E426" i="2" s="1"/>
  <c r="G426" i="1" s="1"/>
  <c r="A426" i="2"/>
  <c r="B425" i="2"/>
  <c r="A425" i="2"/>
  <c r="B424" i="2"/>
  <c r="E424" i="2" s="1"/>
  <c r="G424" i="1" s="1"/>
  <c r="A424" i="2"/>
  <c r="B423" i="2"/>
  <c r="E423" i="2" s="1"/>
  <c r="G423" i="1" s="1"/>
  <c r="A423" i="2"/>
  <c r="B422" i="2"/>
  <c r="E422" i="2" s="1"/>
  <c r="G422" i="1" s="1"/>
  <c r="A422" i="2"/>
  <c r="B421" i="2"/>
  <c r="E421" i="2" s="1"/>
  <c r="G421" i="1" s="1"/>
  <c r="A421" i="2"/>
  <c r="B420" i="2"/>
  <c r="E420" i="2" s="1"/>
  <c r="G420" i="1" s="1"/>
  <c r="A420" i="2"/>
  <c r="B419" i="2"/>
  <c r="E419" i="2" s="1"/>
  <c r="G419" i="1" s="1"/>
  <c r="A419" i="2"/>
  <c r="B418" i="2"/>
  <c r="E418" i="2" s="1"/>
  <c r="G418" i="1" s="1"/>
  <c r="A418" i="2"/>
  <c r="B417" i="2"/>
  <c r="E417" i="2" s="1"/>
  <c r="G417" i="1" s="1"/>
  <c r="A417" i="2"/>
  <c r="B416" i="2"/>
  <c r="E416" i="2" s="1"/>
  <c r="G416" i="1" s="1"/>
  <c r="A416" i="2"/>
  <c r="B415" i="2"/>
  <c r="E415" i="2" s="1"/>
  <c r="G415" i="1" s="1"/>
  <c r="A415" i="2"/>
  <c r="B414" i="2"/>
  <c r="E414" i="2" s="1"/>
  <c r="G414" i="1" s="1"/>
  <c r="A414" i="2"/>
  <c r="B413" i="2"/>
  <c r="E413" i="2" s="1"/>
  <c r="G413" i="1" s="1"/>
  <c r="A413" i="2"/>
  <c r="B412" i="2"/>
  <c r="E412" i="2" s="1"/>
  <c r="G412" i="1" s="1"/>
  <c r="A412" i="2"/>
  <c r="B411" i="2"/>
  <c r="E411" i="2" s="1"/>
  <c r="G411" i="1" s="1"/>
  <c r="A411" i="2"/>
  <c r="B410" i="2"/>
  <c r="E410" i="2" s="1"/>
  <c r="G410" i="1" s="1"/>
  <c r="A410" i="2"/>
  <c r="B409" i="2"/>
  <c r="A409" i="2"/>
  <c r="B408" i="2"/>
  <c r="E408" i="2" s="1"/>
  <c r="G408" i="1" s="1"/>
  <c r="A408" i="2"/>
  <c r="B407" i="2"/>
  <c r="E407" i="2" s="1"/>
  <c r="G407" i="1" s="1"/>
  <c r="A407" i="2"/>
  <c r="B406" i="2"/>
  <c r="E406" i="2" s="1"/>
  <c r="G406" i="1" s="1"/>
  <c r="A406" i="2"/>
  <c r="B405" i="2"/>
  <c r="E405" i="2" s="1"/>
  <c r="G405" i="1" s="1"/>
  <c r="A405" i="2"/>
  <c r="B404" i="2"/>
  <c r="E404" i="2" s="1"/>
  <c r="G404" i="1" s="1"/>
  <c r="A404" i="2"/>
  <c r="B403" i="2"/>
  <c r="E403" i="2" s="1"/>
  <c r="G403" i="1" s="1"/>
  <c r="A403" i="2"/>
  <c r="B402" i="2"/>
  <c r="A402" i="2"/>
  <c r="B401" i="2"/>
  <c r="E401" i="2" s="1"/>
  <c r="G401" i="1" s="1"/>
  <c r="A401" i="2"/>
  <c r="B400" i="2"/>
  <c r="E400" i="2" s="1"/>
  <c r="G400" i="1" s="1"/>
  <c r="A400" i="2"/>
  <c r="B399" i="2"/>
  <c r="E399" i="2" s="1"/>
  <c r="G399" i="1" s="1"/>
  <c r="A399" i="2"/>
  <c r="B398" i="2"/>
  <c r="E398" i="2" s="1"/>
  <c r="G398" i="1" s="1"/>
  <c r="A398" i="2"/>
  <c r="B397" i="2"/>
  <c r="E397" i="2" s="1"/>
  <c r="G397" i="1" s="1"/>
  <c r="A397" i="2"/>
  <c r="B396" i="2"/>
  <c r="E396" i="2" s="1"/>
  <c r="G396" i="1" s="1"/>
  <c r="A396" i="2"/>
  <c r="B395" i="2"/>
  <c r="E395" i="2" s="1"/>
  <c r="G395" i="1" s="1"/>
  <c r="A395" i="2"/>
  <c r="B394" i="2"/>
  <c r="E394" i="2" s="1"/>
  <c r="G394" i="1" s="1"/>
  <c r="A394" i="2"/>
  <c r="B393" i="2"/>
  <c r="E393" i="2" s="1"/>
  <c r="G393" i="1" s="1"/>
  <c r="A393" i="2"/>
  <c r="B392" i="2"/>
  <c r="A392" i="2"/>
  <c r="B391" i="2"/>
  <c r="E391" i="2" s="1"/>
  <c r="G391" i="1" s="1"/>
  <c r="A391" i="2"/>
  <c r="B390" i="2"/>
  <c r="E390" i="2" s="1"/>
  <c r="G390" i="1" s="1"/>
  <c r="A390" i="2"/>
  <c r="B389" i="2"/>
  <c r="E389" i="2" s="1"/>
  <c r="G389" i="1" s="1"/>
  <c r="A389" i="2"/>
  <c r="B388" i="2"/>
  <c r="E388" i="2" s="1"/>
  <c r="G388" i="1" s="1"/>
  <c r="A388" i="2"/>
  <c r="B387" i="2"/>
  <c r="E387" i="2" s="1"/>
  <c r="G387" i="1" s="1"/>
  <c r="A387" i="2"/>
  <c r="B386" i="2"/>
  <c r="E386" i="2" s="1"/>
  <c r="G386" i="1" s="1"/>
  <c r="A386" i="2"/>
  <c r="B385" i="2"/>
  <c r="E385" i="2" s="1"/>
  <c r="G385" i="1" s="1"/>
  <c r="A385" i="2"/>
  <c r="B384" i="2"/>
  <c r="E384" i="2" s="1"/>
  <c r="G384" i="1" s="1"/>
  <c r="A384" i="2"/>
  <c r="B383" i="2"/>
  <c r="E383" i="2" s="1"/>
  <c r="G383" i="1" s="1"/>
  <c r="A383" i="2"/>
  <c r="B382" i="2"/>
  <c r="E382" i="2" s="1"/>
  <c r="G382" i="1" s="1"/>
  <c r="A382" i="2"/>
  <c r="B381" i="2"/>
  <c r="E381" i="2" s="1"/>
  <c r="G381" i="1" s="1"/>
  <c r="A381" i="2"/>
  <c r="B380" i="2"/>
  <c r="E380" i="2" s="1"/>
  <c r="G380" i="1" s="1"/>
  <c r="A380" i="2"/>
  <c r="B379" i="2"/>
  <c r="E379" i="2" s="1"/>
  <c r="G379" i="1" s="1"/>
  <c r="A379" i="2"/>
  <c r="B378" i="2"/>
  <c r="E378" i="2" s="1"/>
  <c r="G378" i="1" s="1"/>
  <c r="A378" i="2"/>
  <c r="B377" i="2"/>
  <c r="E377" i="2" s="1"/>
  <c r="G377" i="1" s="1"/>
  <c r="A377" i="2"/>
  <c r="B376" i="2"/>
  <c r="E376" i="2" s="1"/>
  <c r="G376" i="1" s="1"/>
  <c r="A376" i="2"/>
  <c r="B375" i="2"/>
  <c r="E375" i="2" s="1"/>
  <c r="G375" i="1" s="1"/>
  <c r="A375" i="2"/>
  <c r="B374" i="2"/>
  <c r="A374" i="2"/>
  <c r="B373" i="2"/>
  <c r="E373" i="2" s="1"/>
  <c r="G373" i="1" s="1"/>
  <c r="A373" i="2"/>
  <c r="B372" i="2"/>
  <c r="E372" i="2" s="1"/>
  <c r="G372" i="1" s="1"/>
  <c r="A372" i="2"/>
  <c r="B371" i="2"/>
  <c r="E371" i="2" s="1"/>
  <c r="G371" i="1" s="1"/>
  <c r="A371" i="2"/>
  <c r="B370" i="2"/>
  <c r="E370" i="2" s="1"/>
  <c r="G370" i="1" s="1"/>
  <c r="A370" i="2"/>
  <c r="B369" i="2"/>
  <c r="E369" i="2" s="1"/>
  <c r="G369" i="1" s="1"/>
  <c r="A369" i="2"/>
  <c r="B368" i="2"/>
  <c r="E368" i="2" s="1"/>
  <c r="G368" i="1" s="1"/>
  <c r="A368" i="2"/>
  <c r="B367" i="2"/>
  <c r="E367" i="2" s="1"/>
  <c r="G367" i="1" s="1"/>
  <c r="A367" i="2"/>
  <c r="B366" i="2"/>
  <c r="E366" i="2" s="1"/>
  <c r="G366" i="1" s="1"/>
  <c r="A366" i="2"/>
  <c r="B365" i="2"/>
  <c r="E365" i="2" s="1"/>
  <c r="G365" i="1" s="1"/>
  <c r="A365" i="2"/>
  <c r="B364" i="2"/>
  <c r="E364" i="2" s="1"/>
  <c r="G364" i="1" s="1"/>
  <c r="A364" i="2"/>
  <c r="B363" i="2"/>
  <c r="E363" i="2" s="1"/>
  <c r="G363" i="1" s="1"/>
  <c r="A363" i="2"/>
  <c r="B362" i="2"/>
  <c r="E362" i="2" s="1"/>
  <c r="G362" i="1" s="1"/>
  <c r="A362" i="2"/>
  <c r="B361" i="2"/>
  <c r="E361" i="2" s="1"/>
  <c r="G361" i="1" s="1"/>
  <c r="A361" i="2"/>
  <c r="B360" i="2"/>
  <c r="E360" i="2" s="1"/>
  <c r="G360" i="1" s="1"/>
  <c r="A360" i="2"/>
  <c r="B359" i="2"/>
  <c r="A359" i="2"/>
  <c r="B358" i="2"/>
  <c r="A358" i="2"/>
  <c r="B357" i="2"/>
  <c r="E357" i="2" s="1"/>
  <c r="G357" i="1" s="1"/>
  <c r="A357" i="2"/>
  <c r="B356" i="2"/>
  <c r="E356" i="2" s="1"/>
  <c r="G356" i="1" s="1"/>
  <c r="A356" i="2"/>
  <c r="B355" i="2"/>
  <c r="E355" i="2" s="1"/>
  <c r="G355" i="1" s="1"/>
  <c r="A355" i="2"/>
  <c r="B354" i="2"/>
  <c r="E354" i="2" s="1"/>
  <c r="G354" i="1" s="1"/>
  <c r="A354" i="2"/>
  <c r="B353" i="2"/>
  <c r="E353" i="2" s="1"/>
  <c r="G353" i="1" s="1"/>
  <c r="A353" i="2"/>
  <c r="B352" i="2"/>
  <c r="E352" i="2" s="1"/>
  <c r="G352" i="1" s="1"/>
  <c r="A352" i="2"/>
  <c r="B351" i="2"/>
  <c r="E351" i="2" s="1"/>
  <c r="G351" i="1" s="1"/>
  <c r="A351" i="2"/>
  <c r="B350" i="2"/>
  <c r="E350" i="2" s="1"/>
  <c r="G350" i="1" s="1"/>
  <c r="A350" i="2"/>
  <c r="B349" i="2"/>
  <c r="E349" i="2" s="1"/>
  <c r="G349" i="1" s="1"/>
  <c r="A349" i="2"/>
  <c r="B348" i="2"/>
  <c r="E348" i="2" s="1"/>
  <c r="G348" i="1" s="1"/>
  <c r="A348" i="2"/>
  <c r="B347" i="2"/>
  <c r="E347" i="2" s="1"/>
  <c r="G347" i="1" s="1"/>
  <c r="A347" i="2"/>
  <c r="B346" i="2"/>
  <c r="E346" i="2" s="1"/>
  <c r="G346" i="1" s="1"/>
  <c r="A346" i="2"/>
  <c r="B345" i="2"/>
  <c r="E345" i="2" s="1"/>
  <c r="G345" i="1" s="1"/>
  <c r="A345" i="2"/>
  <c r="B344" i="2"/>
  <c r="E344" i="2" s="1"/>
  <c r="G344" i="1" s="1"/>
  <c r="A344" i="2"/>
  <c r="B343" i="2"/>
  <c r="E343" i="2" s="1"/>
  <c r="G343" i="1" s="1"/>
  <c r="A343" i="2"/>
  <c r="B342" i="2"/>
  <c r="E342" i="2" s="1"/>
  <c r="G342" i="1" s="1"/>
  <c r="A342" i="2"/>
  <c r="B341" i="2"/>
  <c r="E341" i="2" s="1"/>
  <c r="G341" i="1" s="1"/>
  <c r="A341" i="2"/>
  <c r="B340" i="2"/>
  <c r="E340" i="2" s="1"/>
  <c r="G340" i="1" s="1"/>
  <c r="A340" i="2"/>
  <c r="B339" i="2"/>
  <c r="E339" i="2" s="1"/>
  <c r="G339" i="1" s="1"/>
  <c r="A339" i="2"/>
  <c r="B338" i="2"/>
  <c r="A338" i="2"/>
  <c r="B337" i="2"/>
  <c r="E337" i="2" s="1"/>
  <c r="G337" i="1" s="1"/>
  <c r="A337" i="2"/>
  <c r="B336" i="2"/>
  <c r="E336" i="2" s="1"/>
  <c r="G336" i="1" s="1"/>
  <c r="A336" i="2"/>
  <c r="B335" i="2"/>
  <c r="E335" i="2" s="1"/>
  <c r="G335" i="1" s="1"/>
  <c r="A335" i="2"/>
  <c r="B334" i="2"/>
  <c r="E334" i="2" s="1"/>
  <c r="G334" i="1" s="1"/>
  <c r="A334" i="2"/>
  <c r="B333" i="2"/>
  <c r="E333" i="2" s="1"/>
  <c r="G333" i="1" s="1"/>
  <c r="A333" i="2"/>
  <c r="B332" i="2"/>
  <c r="E332" i="2" s="1"/>
  <c r="G332" i="1" s="1"/>
  <c r="A332" i="2"/>
  <c r="B331" i="2"/>
  <c r="A331" i="2"/>
  <c r="B330" i="2"/>
  <c r="E330" i="2" s="1"/>
  <c r="G330" i="1" s="1"/>
  <c r="A330" i="2"/>
  <c r="B329" i="2"/>
  <c r="E329" i="2" s="1"/>
  <c r="G329" i="1" s="1"/>
  <c r="A329" i="2"/>
  <c r="B328" i="2"/>
  <c r="E328" i="2" s="1"/>
  <c r="G328" i="1" s="1"/>
  <c r="A328" i="2"/>
  <c r="B327" i="2"/>
  <c r="E327" i="2" s="1"/>
  <c r="G327" i="1" s="1"/>
  <c r="A327" i="2"/>
  <c r="B326" i="2"/>
  <c r="E326" i="2" s="1"/>
  <c r="G326" i="1" s="1"/>
  <c r="A326" i="2"/>
  <c r="B325" i="2"/>
  <c r="E325" i="2" s="1"/>
  <c r="G325" i="1" s="1"/>
  <c r="A325" i="2"/>
  <c r="B324" i="2"/>
  <c r="E324" i="2" s="1"/>
  <c r="G324" i="1" s="1"/>
  <c r="A324" i="2"/>
  <c r="B323" i="2"/>
  <c r="E323" i="2" s="1"/>
  <c r="G323" i="1" s="1"/>
  <c r="A323" i="2"/>
  <c r="B322" i="2"/>
  <c r="E322" i="2" s="1"/>
  <c r="G322" i="1" s="1"/>
  <c r="A322" i="2"/>
  <c r="B321" i="2"/>
  <c r="A321" i="2"/>
  <c r="B320" i="2"/>
  <c r="A320" i="2"/>
  <c r="B319" i="2"/>
  <c r="E319" i="2" s="1"/>
  <c r="G319" i="1" s="1"/>
  <c r="A319" i="2"/>
  <c r="B318" i="2"/>
  <c r="E318" i="2" s="1"/>
  <c r="G318" i="1" s="1"/>
  <c r="A318" i="2"/>
  <c r="B317" i="2"/>
  <c r="E317" i="2" s="1"/>
  <c r="G317" i="1" s="1"/>
  <c r="A317" i="2"/>
  <c r="B316" i="2"/>
  <c r="E316" i="2" s="1"/>
  <c r="G316" i="1" s="1"/>
  <c r="A316" i="2"/>
  <c r="B315" i="2"/>
  <c r="E315" i="2" s="1"/>
  <c r="G315" i="1" s="1"/>
  <c r="A315" i="2"/>
  <c r="B314" i="2"/>
  <c r="E314" i="2" s="1"/>
  <c r="G314" i="1" s="1"/>
  <c r="A314" i="2"/>
  <c r="B313" i="2"/>
  <c r="E313" i="2" s="1"/>
  <c r="G313" i="1" s="1"/>
  <c r="A313" i="2"/>
  <c r="B312" i="2"/>
  <c r="A312" i="2"/>
  <c r="B311" i="2"/>
  <c r="E311" i="2" s="1"/>
  <c r="G311" i="1" s="1"/>
  <c r="A311" i="2"/>
  <c r="B310" i="2"/>
  <c r="E310" i="2" s="1"/>
  <c r="G310" i="1" s="1"/>
  <c r="A310" i="2"/>
  <c r="B309" i="2"/>
  <c r="E309" i="2" s="1"/>
  <c r="G309" i="1" s="1"/>
  <c r="A309" i="2"/>
  <c r="B308" i="2"/>
  <c r="E308" i="2" s="1"/>
  <c r="G308" i="1" s="1"/>
  <c r="A308" i="2"/>
  <c r="B307" i="2"/>
  <c r="E307" i="2" s="1"/>
  <c r="G307" i="1" s="1"/>
  <c r="A307" i="2"/>
  <c r="B306" i="2"/>
  <c r="E306" i="2" s="1"/>
  <c r="G306" i="1" s="1"/>
  <c r="A306" i="2"/>
  <c r="B305" i="2"/>
  <c r="E305" i="2" s="1"/>
  <c r="G305" i="1" s="1"/>
  <c r="A305" i="2"/>
  <c r="B304" i="2"/>
  <c r="A304" i="2"/>
  <c r="B303" i="2"/>
  <c r="A303" i="2"/>
  <c r="B302" i="2"/>
  <c r="E302" i="2" s="1"/>
  <c r="G302" i="1" s="1"/>
  <c r="A302" i="2"/>
  <c r="B301" i="2"/>
  <c r="E301" i="2" s="1"/>
  <c r="G301" i="1" s="1"/>
  <c r="A301" i="2"/>
  <c r="B300" i="2"/>
  <c r="A300" i="2"/>
  <c r="B299" i="2"/>
  <c r="E299" i="2" s="1"/>
  <c r="G299" i="1" s="1"/>
  <c r="A299" i="2"/>
  <c r="B298" i="2"/>
  <c r="E298" i="2" s="1"/>
  <c r="G298" i="1" s="1"/>
  <c r="A298" i="2"/>
  <c r="B297" i="2"/>
  <c r="E297" i="2" s="1"/>
  <c r="G297" i="1" s="1"/>
  <c r="A297" i="2"/>
  <c r="B296" i="2"/>
  <c r="E296" i="2" s="1"/>
  <c r="G296" i="1" s="1"/>
  <c r="A296" i="2"/>
  <c r="B295" i="2"/>
  <c r="E295" i="2" s="1"/>
  <c r="G295" i="1" s="1"/>
  <c r="A295" i="2"/>
  <c r="B294" i="2"/>
  <c r="E294" i="2" s="1"/>
  <c r="G294" i="1" s="1"/>
  <c r="A294" i="2"/>
  <c r="B293" i="2"/>
  <c r="A293" i="2"/>
  <c r="B292" i="2"/>
  <c r="E292" i="2" s="1"/>
  <c r="G292" i="1" s="1"/>
  <c r="A292" i="2"/>
  <c r="B291" i="2"/>
  <c r="E291" i="2" s="1"/>
  <c r="G291" i="1" s="1"/>
  <c r="A291" i="2"/>
  <c r="B290" i="2"/>
  <c r="E290" i="2" s="1"/>
  <c r="G290" i="1" s="1"/>
  <c r="A290" i="2"/>
  <c r="B289" i="2"/>
  <c r="E289" i="2" s="1"/>
  <c r="G289" i="1" s="1"/>
  <c r="A289" i="2"/>
  <c r="B288" i="2"/>
  <c r="E288" i="2" s="1"/>
  <c r="G288" i="1" s="1"/>
  <c r="A288" i="2"/>
  <c r="B287" i="2"/>
  <c r="E287" i="2" s="1"/>
  <c r="G287" i="1" s="1"/>
  <c r="A287" i="2"/>
  <c r="B286" i="2"/>
  <c r="E286" i="2" s="1"/>
  <c r="G286" i="1" s="1"/>
  <c r="A286" i="2"/>
  <c r="B285" i="2"/>
  <c r="E285" i="2" s="1"/>
  <c r="G285" i="1" s="1"/>
  <c r="A285" i="2"/>
  <c r="B284" i="2"/>
  <c r="A284" i="2"/>
  <c r="B283" i="2"/>
  <c r="A283" i="2"/>
  <c r="B282" i="2"/>
  <c r="E282" i="2" s="1"/>
  <c r="G282" i="1" s="1"/>
  <c r="A282" i="2"/>
  <c r="B281" i="2"/>
  <c r="E281" i="2" s="1"/>
  <c r="G281" i="1" s="1"/>
  <c r="A281" i="2"/>
  <c r="B280" i="2"/>
  <c r="E280" i="2" s="1"/>
  <c r="G280" i="1" s="1"/>
  <c r="A280" i="2"/>
  <c r="B279" i="2"/>
  <c r="E279" i="2" s="1"/>
  <c r="G279" i="1" s="1"/>
  <c r="A279" i="2"/>
  <c r="B278" i="2"/>
  <c r="A278" i="2"/>
  <c r="B277" i="2"/>
  <c r="A277" i="2"/>
  <c r="B276" i="2"/>
  <c r="A276" i="2"/>
  <c r="B275" i="2"/>
  <c r="A275" i="2"/>
  <c r="B274" i="2"/>
  <c r="A274" i="2"/>
  <c r="B273" i="2"/>
  <c r="A273" i="2"/>
  <c r="B272" i="2"/>
  <c r="A272" i="2"/>
  <c r="B271" i="2"/>
  <c r="A271" i="2"/>
  <c r="B270" i="2"/>
  <c r="A270" i="2"/>
  <c r="B269" i="2"/>
  <c r="A269" i="2"/>
  <c r="B268" i="2"/>
  <c r="A268" i="2"/>
  <c r="B267" i="2"/>
  <c r="A267" i="2"/>
  <c r="B266" i="2"/>
  <c r="A266" i="2"/>
  <c r="B265" i="2"/>
  <c r="A265" i="2"/>
  <c r="B264" i="2"/>
  <c r="A264" i="2"/>
  <c r="B263" i="2"/>
  <c r="A263" i="2"/>
  <c r="B262" i="2"/>
  <c r="A262" i="2"/>
  <c r="B261" i="2"/>
  <c r="A261" i="2"/>
  <c r="B260" i="2"/>
  <c r="A260" i="2"/>
  <c r="B259" i="2"/>
  <c r="A259" i="2"/>
  <c r="B258" i="2"/>
  <c r="A258" i="2"/>
  <c r="B257" i="2"/>
  <c r="A257" i="2"/>
  <c r="B256" i="2"/>
  <c r="A256" i="2"/>
  <c r="B255" i="2"/>
  <c r="A255" i="2"/>
  <c r="B254" i="2"/>
  <c r="A254" i="2"/>
  <c r="B253" i="2"/>
  <c r="A253" i="2"/>
  <c r="B252" i="2"/>
  <c r="A252" i="2"/>
  <c r="B251" i="2"/>
  <c r="A251" i="2"/>
  <c r="B250" i="2"/>
  <c r="A250" i="2"/>
  <c r="B249" i="2"/>
  <c r="A249" i="2"/>
  <c r="B248" i="2"/>
  <c r="A248" i="2"/>
  <c r="B247" i="2"/>
  <c r="A247" i="2"/>
  <c r="B246" i="2"/>
  <c r="A246" i="2"/>
  <c r="B245" i="2"/>
  <c r="A245" i="2"/>
  <c r="B244" i="2"/>
  <c r="A244" i="2"/>
  <c r="B243" i="2"/>
  <c r="A243" i="2"/>
  <c r="B242" i="2"/>
  <c r="A242" i="2"/>
  <c r="B241" i="2"/>
  <c r="A241" i="2"/>
  <c r="B240" i="2"/>
  <c r="A240" i="2"/>
  <c r="A239" i="2"/>
  <c r="B238" i="2"/>
  <c r="A238" i="2"/>
  <c r="B237" i="2"/>
  <c r="A237" i="2"/>
  <c r="B236" i="2"/>
  <c r="A236" i="2"/>
  <c r="B235" i="2"/>
  <c r="A235" i="2"/>
  <c r="B234" i="2"/>
  <c r="A234" i="2"/>
  <c r="B233" i="2"/>
  <c r="A233" i="2"/>
  <c r="B232" i="2"/>
  <c r="A232" i="2"/>
  <c r="B231" i="2"/>
  <c r="A231" i="2"/>
  <c r="B230" i="2"/>
  <c r="A230" i="2"/>
  <c r="B229" i="2"/>
  <c r="A229" i="2"/>
  <c r="B228" i="2"/>
  <c r="A228" i="2"/>
  <c r="B227" i="2"/>
  <c r="A227" i="2"/>
  <c r="B226" i="2"/>
  <c r="A226" i="2"/>
  <c r="B225" i="2"/>
  <c r="A225" i="2"/>
  <c r="B224" i="2"/>
  <c r="A224" i="2"/>
  <c r="B223" i="2"/>
  <c r="A223" i="2"/>
  <c r="B222" i="2"/>
  <c r="A222" i="2"/>
  <c r="B221" i="2"/>
  <c r="A221" i="2"/>
  <c r="B220" i="2"/>
  <c r="A220" i="2"/>
  <c r="B219" i="2"/>
  <c r="A219" i="2"/>
  <c r="B218" i="2"/>
  <c r="A218" i="2"/>
  <c r="B217" i="2"/>
  <c r="A217" i="2"/>
  <c r="B216" i="2"/>
  <c r="A216" i="2"/>
  <c r="B215" i="2"/>
  <c r="A215" i="2"/>
  <c r="B214" i="2"/>
  <c r="A214" i="2"/>
  <c r="B213" i="2"/>
  <c r="A213" i="2"/>
  <c r="B212" i="2"/>
  <c r="A212" i="2"/>
  <c r="B211" i="2"/>
  <c r="A211" i="2"/>
  <c r="B210" i="2"/>
  <c r="A210" i="2"/>
  <c r="B209" i="2"/>
  <c r="A209" i="2"/>
  <c r="B208" i="2"/>
  <c r="A208" i="2"/>
  <c r="B207" i="2"/>
  <c r="A207" i="2"/>
  <c r="B206" i="2"/>
  <c r="A206" i="2"/>
  <c r="B205" i="2"/>
  <c r="A205" i="2"/>
  <c r="B204" i="2"/>
  <c r="A204" i="2"/>
  <c r="B203" i="2"/>
  <c r="A203" i="2"/>
  <c r="B202" i="2"/>
  <c r="A202" i="2"/>
  <c r="B201" i="2"/>
  <c r="A201" i="2"/>
  <c r="B200" i="2"/>
  <c r="A200" i="2"/>
  <c r="B199" i="2"/>
  <c r="A199" i="2"/>
  <c r="B198" i="2"/>
  <c r="A198" i="2"/>
  <c r="B197" i="2"/>
  <c r="A197" i="2"/>
  <c r="B196" i="2"/>
  <c r="A196" i="2"/>
  <c r="B195" i="2"/>
  <c r="A195" i="2"/>
  <c r="B194" i="2"/>
  <c r="A194" i="2"/>
  <c r="B193" i="2"/>
  <c r="A193" i="2"/>
  <c r="B192" i="2"/>
  <c r="A192" i="2"/>
  <c r="B191" i="2"/>
  <c r="A191" i="2"/>
  <c r="B190" i="2"/>
  <c r="A190" i="2"/>
  <c r="B189" i="2"/>
  <c r="A189" i="2"/>
  <c r="B188" i="2"/>
  <c r="A188" i="2"/>
  <c r="B187" i="2"/>
  <c r="A187" i="2"/>
  <c r="B186" i="2"/>
  <c r="A186" i="2"/>
  <c r="B185" i="2"/>
  <c r="A185" i="2"/>
  <c r="B184" i="2"/>
  <c r="A184" i="2"/>
  <c r="B183" i="2"/>
  <c r="A183" i="2"/>
  <c r="B182" i="2"/>
  <c r="A182" i="2"/>
  <c r="B181" i="2"/>
  <c r="A181" i="2"/>
  <c r="B180" i="2"/>
  <c r="A180" i="2"/>
  <c r="B179" i="2"/>
  <c r="A179" i="2"/>
  <c r="B178" i="2"/>
  <c r="A178" i="2"/>
  <c r="B177" i="2"/>
  <c r="A177" i="2"/>
  <c r="B176" i="2"/>
  <c r="A176" i="2"/>
  <c r="B175" i="2"/>
  <c r="A175" i="2"/>
  <c r="B174" i="2"/>
  <c r="A174" i="2"/>
  <c r="B173" i="2"/>
  <c r="A173" i="2"/>
  <c r="B172" i="2"/>
  <c r="A172" i="2"/>
  <c r="B171" i="2"/>
  <c r="A171" i="2"/>
  <c r="B170" i="2"/>
  <c r="A170" i="2"/>
  <c r="B169" i="2"/>
  <c r="A169" i="2"/>
  <c r="B168" i="2"/>
  <c r="A168" i="2"/>
  <c r="B167" i="2"/>
  <c r="A167" i="2"/>
  <c r="B166" i="2"/>
  <c r="A166" i="2"/>
  <c r="B165" i="2"/>
  <c r="A165" i="2"/>
  <c r="B164" i="2"/>
  <c r="A164" i="2"/>
  <c r="B163" i="2"/>
  <c r="A163" i="2"/>
  <c r="B162" i="2"/>
  <c r="A162" i="2"/>
  <c r="B161" i="2"/>
  <c r="A161" i="2"/>
  <c r="B160" i="2"/>
  <c r="A160" i="2"/>
  <c r="B159" i="2"/>
  <c r="A159" i="2"/>
  <c r="B158" i="2"/>
  <c r="A158" i="2"/>
  <c r="B157" i="2"/>
  <c r="A157" i="2"/>
  <c r="B156" i="2"/>
  <c r="A156" i="2"/>
  <c r="B155" i="2"/>
  <c r="A155" i="2"/>
  <c r="B154" i="2"/>
  <c r="A154" i="2"/>
  <c r="B153" i="2"/>
  <c r="A153" i="2"/>
  <c r="B152" i="2"/>
  <c r="A152" i="2"/>
  <c r="B151" i="2"/>
  <c r="A151" i="2"/>
  <c r="B150" i="2"/>
  <c r="A150" i="2"/>
  <c r="B149" i="2"/>
  <c r="A149" i="2"/>
  <c r="B148" i="2"/>
  <c r="A148" i="2"/>
  <c r="B147" i="2"/>
  <c r="A147" i="2"/>
  <c r="B146" i="2"/>
  <c r="A146" i="2"/>
  <c r="B145" i="2"/>
  <c r="A145" i="2"/>
  <c r="B144" i="2"/>
  <c r="A144" i="2"/>
  <c r="B143" i="2"/>
  <c r="A143" i="2"/>
  <c r="B142" i="2"/>
  <c r="A142" i="2"/>
  <c r="B141" i="2"/>
  <c r="A141" i="2"/>
  <c r="B140" i="2"/>
  <c r="A140" i="2"/>
  <c r="B139" i="2"/>
  <c r="A139" i="2"/>
  <c r="B138" i="2"/>
  <c r="A138" i="2"/>
  <c r="B137" i="2"/>
  <c r="A137" i="2"/>
  <c r="B136" i="2"/>
  <c r="A136" i="2"/>
  <c r="B135" i="2"/>
  <c r="A135" i="2"/>
  <c r="B134" i="2"/>
  <c r="A134" i="2"/>
  <c r="B133" i="2"/>
  <c r="A133" i="2"/>
  <c r="B132" i="2"/>
  <c r="A132" i="2"/>
  <c r="B131" i="2"/>
  <c r="A131" i="2"/>
  <c r="B130" i="2"/>
  <c r="A130" i="2"/>
  <c r="B129" i="2"/>
  <c r="A129" i="2"/>
  <c r="B128" i="2"/>
  <c r="A128" i="2"/>
  <c r="B127" i="2"/>
  <c r="A127" i="2"/>
  <c r="B126" i="2"/>
  <c r="A126" i="2"/>
  <c r="B125" i="2"/>
  <c r="A125" i="2"/>
  <c r="B124" i="2"/>
  <c r="A124" i="2"/>
  <c r="B123" i="2"/>
  <c r="A123" i="2"/>
  <c r="B122" i="2"/>
  <c r="A122" i="2"/>
  <c r="B121" i="2"/>
  <c r="A121" i="2"/>
  <c r="B120" i="2"/>
  <c r="A120" i="2"/>
  <c r="B119" i="2"/>
  <c r="A119" i="2"/>
  <c r="B118" i="2"/>
  <c r="A118" i="2"/>
  <c r="B117" i="2"/>
  <c r="A117" i="2"/>
  <c r="B116" i="2"/>
  <c r="A116" i="2"/>
  <c r="B115" i="2"/>
  <c r="A115" i="2"/>
  <c r="B114" i="2"/>
  <c r="A114" i="2"/>
  <c r="B113" i="2"/>
  <c r="A113" i="2"/>
  <c r="B112" i="2"/>
  <c r="A112" i="2"/>
  <c r="B111" i="2"/>
  <c r="A111" i="2"/>
  <c r="B110" i="2"/>
  <c r="A110" i="2"/>
  <c r="B109" i="2"/>
  <c r="A109" i="2"/>
  <c r="B108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<sst xmlns="http://schemas.openxmlformats.org/spreadsheetml/2006/main" count="2285" uniqueCount="1906">
  <si>
    <t>뜻</t>
  </si>
  <si>
    <t>예문</t>
  </si>
  <si>
    <t>No.</t>
  </si>
  <si>
    <t>영어 단어</t>
  </si>
  <si>
    <t>암기 체크</t>
  </si>
  <si>
    <t>입력 날짜</t>
  </si>
  <si>
    <t>eloquent</t>
    <phoneticPr fontId="1" type="noConversion"/>
  </si>
  <si>
    <t>mundane</t>
    <phoneticPr fontId="1" type="noConversion"/>
  </si>
  <si>
    <t>scurtinize</t>
    <phoneticPr fontId="1" type="noConversion"/>
  </si>
  <si>
    <t>pragmatic</t>
    <phoneticPr fontId="1" type="noConversion"/>
  </si>
  <si>
    <t>ambiguous</t>
    <phoneticPr fontId="1" type="noConversion"/>
  </si>
  <si>
    <t>volatile</t>
    <phoneticPr fontId="1" type="noConversion"/>
  </si>
  <si>
    <t>contemplate</t>
    <phoneticPr fontId="1" type="noConversion"/>
  </si>
  <si>
    <t>meticulous</t>
    <phoneticPr fontId="1" type="noConversion"/>
  </si>
  <si>
    <t>perpetual</t>
    <phoneticPr fontId="1" type="noConversion"/>
  </si>
  <si>
    <t>redundant</t>
    <phoneticPr fontId="1" type="noConversion"/>
  </si>
  <si>
    <t>adequate</t>
    <phoneticPr fontId="1" type="noConversion"/>
  </si>
  <si>
    <t>reluctant</t>
    <phoneticPr fontId="1" type="noConversion"/>
  </si>
  <si>
    <t>genuine</t>
    <phoneticPr fontId="1" type="noConversion"/>
  </si>
  <si>
    <t>temporary</t>
    <phoneticPr fontId="1" type="noConversion"/>
  </si>
  <si>
    <t>efficient</t>
    <phoneticPr fontId="1" type="noConversion"/>
  </si>
  <si>
    <t>maintain</t>
    <phoneticPr fontId="1" type="noConversion"/>
  </si>
  <si>
    <t>approximate</t>
    <phoneticPr fontId="1" type="noConversion"/>
  </si>
  <si>
    <t>obvious</t>
    <phoneticPr fontId="1" type="noConversion"/>
  </si>
  <si>
    <t>diverse</t>
    <phoneticPr fontId="1" type="noConversion"/>
  </si>
  <si>
    <t>compensate</t>
    <phoneticPr fontId="1" type="noConversion"/>
  </si>
  <si>
    <t>abundant</t>
    <phoneticPr fontId="1" type="noConversion"/>
  </si>
  <si>
    <t>perceive</t>
    <phoneticPr fontId="1" type="noConversion"/>
  </si>
  <si>
    <t>establish</t>
    <phoneticPr fontId="1" type="noConversion"/>
  </si>
  <si>
    <t>obstacle</t>
    <phoneticPr fontId="1" type="noConversion"/>
  </si>
  <si>
    <t>require</t>
    <phoneticPr fontId="1" type="noConversion"/>
  </si>
  <si>
    <t>benefit</t>
    <phoneticPr fontId="1" type="noConversion"/>
  </si>
  <si>
    <t>contribute</t>
    <phoneticPr fontId="1" type="noConversion"/>
  </si>
  <si>
    <t>primary</t>
    <phoneticPr fontId="1" type="noConversion"/>
  </si>
  <si>
    <t>indicate</t>
    <phoneticPr fontId="1" type="noConversion"/>
  </si>
  <si>
    <t>obtain</t>
    <phoneticPr fontId="1" type="noConversion"/>
  </si>
  <si>
    <t>appreciate</t>
    <phoneticPr fontId="1" type="noConversion"/>
  </si>
  <si>
    <t>concentrate</t>
    <phoneticPr fontId="1" type="noConversion"/>
  </si>
  <si>
    <t>determine</t>
    <phoneticPr fontId="1" type="noConversion"/>
  </si>
  <si>
    <t>eliminate</t>
    <phoneticPr fontId="1" type="noConversion"/>
  </si>
  <si>
    <t>flexible</t>
    <phoneticPr fontId="1" type="noConversion"/>
  </si>
  <si>
    <t>implement</t>
    <phoneticPr fontId="1" type="noConversion"/>
  </si>
  <si>
    <t>justify</t>
    <phoneticPr fontId="1" type="noConversion"/>
  </si>
  <si>
    <t>nogotiate</t>
    <phoneticPr fontId="1" type="noConversion"/>
  </si>
  <si>
    <t>prioritize</t>
    <phoneticPr fontId="1" type="noConversion"/>
  </si>
  <si>
    <t>sustain</t>
    <phoneticPr fontId="1" type="noConversion"/>
  </si>
  <si>
    <t>assume</t>
    <phoneticPr fontId="1" type="noConversion"/>
  </si>
  <si>
    <t>capacity</t>
    <phoneticPr fontId="1" type="noConversion"/>
  </si>
  <si>
    <t>demonstrate</t>
    <phoneticPr fontId="1" type="noConversion"/>
  </si>
  <si>
    <t>eventually</t>
    <phoneticPr fontId="1" type="noConversion"/>
  </si>
  <si>
    <t>furthermore</t>
    <phoneticPr fontId="1" type="noConversion"/>
  </si>
  <si>
    <t>immediate</t>
    <phoneticPr fontId="1" type="noConversion"/>
  </si>
  <si>
    <t>minimum</t>
    <phoneticPr fontId="1" type="noConversion"/>
  </si>
  <si>
    <t>perspective</t>
    <phoneticPr fontId="1" type="noConversion"/>
  </si>
  <si>
    <t>substantial</t>
    <phoneticPr fontId="1" type="noConversion"/>
  </si>
  <si>
    <t>undergo</t>
    <phoneticPr fontId="1" type="noConversion"/>
  </si>
  <si>
    <t>acknowledge</t>
    <phoneticPr fontId="1" type="noConversion"/>
  </si>
  <si>
    <t>competent</t>
    <phoneticPr fontId="1" type="noConversion"/>
  </si>
  <si>
    <t>distiction</t>
    <phoneticPr fontId="1" type="noConversion"/>
  </si>
  <si>
    <t>enhance</t>
    <phoneticPr fontId="1" type="noConversion"/>
  </si>
  <si>
    <t>유창한, 설득력 있는</t>
    <phoneticPr fontId="1" type="noConversion"/>
  </si>
  <si>
    <t>평범한, 일상적인</t>
    <phoneticPr fontId="1" type="noConversion"/>
  </si>
  <si>
    <t>정밀 검토하다</t>
    <phoneticPr fontId="1" type="noConversion"/>
  </si>
  <si>
    <t>실용적인</t>
    <phoneticPr fontId="1" type="noConversion"/>
  </si>
  <si>
    <t>애매한, 모호한</t>
    <phoneticPr fontId="1" type="noConversion"/>
  </si>
  <si>
    <t>변덕스러운</t>
    <phoneticPr fontId="1" type="noConversion"/>
  </si>
  <si>
    <t>숙고하다</t>
    <phoneticPr fontId="1" type="noConversion"/>
  </si>
  <si>
    <t>뜻 (문제)</t>
  </si>
  <si>
    <t>내 답</t>
  </si>
  <si>
    <t>정답</t>
  </si>
  <si>
    <t>결과</t>
  </si>
  <si>
    <t>시험 날짜</t>
  </si>
  <si>
    <t>꼼꼼한, 세심한</t>
    <phoneticPr fontId="1" type="noConversion"/>
  </si>
  <si>
    <t>중복된, 불필요한</t>
    <phoneticPr fontId="1" type="noConversion"/>
  </si>
  <si>
    <t>적절한, 충분한</t>
    <phoneticPr fontId="1" type="noConversion"/>
  </si>
  <si>
    <t>꺼리는</t>
    <phoneticPr fontId="1" type="noConversion"/>
  </si>
  <si>
    <t>진실한, 진짜의</t>
    <phoneticPr fontId="1" type="noConversion"/>
  </si>
  <si>
    <t>일시적인</t>
    <phoneticPr fontId="1" type="noConversion"/>
  </si>
  <si>
    <t>효율적인</t>
    <phoneticPr fontId="1" type="noConversion"/>
  </si>
  <si>
    <t>유지하다</t>
    <phoneticPr fontId="1" type="noConversion"/>
  </si>
  <si>
    <t>대략의, 근사치의</t>
    <phoneticPr fontId="1" type="noConversion"/>
  </si>
  <si>
    <t>명백한, 분명한</t>
    <phoneticPr fontId="1" type="noConversion"/>
  </si>
  <si>
    <t>다양한</t>
    <phoneticPr fontId="1" type="noConversion"/>
  </si>
  <si>
    <t>보상하다</t>
    <phoneticPr fontId="1" type="noConversion"/>
  </si>
  <si>
    <t>풍부한, 많은</t>
    <phoneticPr fontId="1" type="noConversion"/>
  </si>
  <si>
    <t>인지하다</t>
    <phoneticPr fontId="1" type="noConversion"/>
  </si>
  <si>
    <t>설립하다</t>
    <phoneticPr fontId="1" type="noConversion"/>
  </si>
  <si>
    <t>장애물</t>
    <phoneticPr fontId="1" type="noConversion"/>
  </si>
  <si>
    <t>요구하다</t>
    <phoneticPr fontId="1" type="noConversion"/>
  </si>
  <si>
    <t>이익, 이윤</t>
    <phoneticPr fontId="1" type="noConversion"/>
  </si>
  <si>
    <t>기여하다</t>
    <phoneticPr fontId="1" type="noConversion"/>
  </si>
  <si>
    <t>주요한</t>
    <phoneticPr fontId="1" type="noConversion"/>
  </si>
  <si>
    <t>나타내다</t>
    <phoneticPr fontId="1" type="noConversion"/>
  </si>
  <si>
    <t>얻다</t>
    <phoneticPr fontId="1" type="noConversion"/>
  </si>
  <si>
    <t>감사하다</t>
    <phoneticPr fontId="1" type="noConversion"/>
  </si>
  <si>
    <t>집중하다</t>
    <phoneticPr fontId="1" type="noConversion"/>
  </si>
  <si>
    <t>결정하다</t>
    <phoneticPr fontId="1" type="noConversion"/>
  </si>
  <si>
    <t>제거하다</t>
    <phoneticPr fontId="1" type="noConversion"/>
  </si>
  <si>
    <t>유연한</t>
    <phoneticPr fontId="1" type="noConversion"/>
  </si>
  <si>
    <t>실행하다</t>
    <phoneticPr fontId="1" type="noConversion"/>
  </si>
  <si>
    <t>정당화하다, 변명하다</t>
    <phoneticPr fontId="1" type="noConversion"/>
  </si>
  <si>
    <t>협상하다</t>
    <phoneticPr fontId="1" type="noConversion"/>
  </si>
  <si>
    <t>우선순위를 정하다</t>
    <phoneticPr fontId="1" type="noConversion"/>
  </si>
  <si>
    <t>가정하다</t>
    <phoneticPr fontId="1" type="noConversion"/>
  </si>
  <si>
    <t>능력, 수용력</t>
    <phoneticPr fontId="1" type="noConversion"/>
  </si>
  <si>
    <t>증명하다</t>
    <phoneticPr fontId="1" type="noConversion"/>
  </si>
  <si>
    <t>결국</t>
    <phoneticPr fontId="1" type="noConversion"/>
  </si>
  <si>
    <t>게다가, 더욱이</t>
    <phoneticPr fontId="1" type="noConversion"/>
  </si>
  <si>
    <t>즉시</t>
    <phoneticPr fontId="1" type="noConversion"/>
  </si>
  <si>
    <t>최소의</t>
    <phoneticPr fontId="1" type="noConversion"/>
  </si>
  <si>
    <t>관점, 시각</t>
    <phoneticPr fontId="1" type="noConversion"/>
  </si>
  <si>
    <t>상당한, 실질적인</t>
    <phoneticPr fontId="1" type="noConversion"/>
  </si>
  <si>
    <t>겪다, 경험하다</t>
    <phoneticPr fontId="1" type="noConversion"/>
  </si>
  <si>
    <t>인정하다, 승인하다</t>
    <phoneticPr fontId="1" type="noConversion"/>
  </si>
  <si>
    <t>유능한</t>
    <phoneticPr fontId="1" type="noConversion"/>
  </si>
  <si>
    <t>구별, 차이, 탁월함</t>
    <phoneticPr fontId="1" type="noConversion"/>
  </si>
  <si>
    <t>향상시키다</t>
    <phoneticPr fontId="1" type="noConversion"/>
  </si>
  <si>
    <r>
      <t xml:space="preserve">She gave an </t>
    </r>
    <r>
      <rPr>
        <b/>
        <sz val="11"/>
        <color theme="1"/>
        <rFont val="맑은 고딕"/>
        <family val="3"/>
        <charset val="129"/>
        <scheme val="minor"/>
      </rPr>
      <t>eloquent</t>
    </r>
    <r>
      <rPr>
        <sz val="11"/>
        <color theme="1"/>
        <rFont val="맑은 고딕"/>
        <family val="3"/>
        <charset val="129"/>
        <scheme val="minor"/>
      </rPr>
      <t xml:space="preserve"> speech that moved the audience to tears.</t>
    </r>
    <phoneticPr fontId="1" type="noConversion"/>
  </si>
  <si>
    <r>
      <t xml:space="preserve">He wanted to escape his </t>
    </r>
    <r>
      <rPr>
        <b/>
        <sz val="11"/>
        <color theme="1"/>
        <rFont val="맑은 고딕"/>
        <family val="3"/>
        <charset val="129"/>
        <scheme val="minor"/>
      </rPr>
      <t>mundane</t>
    </r>
    <r>
      <rPr>
        <sz val="11"/>
        <color theme="1"/>
        <rFont val="맑은 고딕"/>
        <family val="3"/>
        <charset val="129"/>
        <scheme val="minor"/>
      </rPr>
      <t xml:space="preserve"> daily routine.</t>
    </r>
    <phoneticPr fontId="1" type="noConversion"/>
  </si>
  <si>
    <r>
      <t xml:space="preserve">The auditor </t>
    </r>
    <r>
      <rPr>
        <b/>
        <sz val="11"/>
        <color theme="1"/>
        <rFont val="맑은 고딕"/>
        <family val="3"/>
        <charset val="129"/>
        <scheme val="minor"/>
      </rPr>
      <t>scrutinized</t>
    </r>
    <r>
      <rPr>
        <sz val="11"/>
        <color theme="1"/>
        <rFont val="맑은 고딕"/>
        <family val="3"/>
        <charset val="129"/>
        <scheme val="minor"/>
      </rPr>
      <t xml:space="preserve"> every line of the financial report.</t>
    </r>
    <phoneticPr fontId="1" type="noConversion"/>
  </si>
  <si>
    <r>
      <t xml:space="preserve">We need a </t>
    </r>
    <r>
      <rPr>
        <b/>
        <sz val="11"/>
        <color theme="1"/>
        <rFont val="맑은 고딕"/>
        <family val="3"/>
        <charset val="129"/>
        <scheme val="minor"/>
      </rPr>
      <t>pragmatic</t>
    </r>
    <r>
      <rPr>
        <sz val="11"/>
        <color theme="1"/>
        <rFont val="맑은 고딕"/>
        <family val="3"/>
        <charset val="129"/>
        <scheme val="minor"/>
      </rPr>
      <t xml:space="preserve"> solution, not just a theory.</t>
    </r>
    <phoneticPr fontId="1" type="noConversion"/>
  </si>
  <si>
    <r>
      <t xml:space="preserve">The contract was too </t>
    </r>
    <r>
      <rPr>
        <b/>
        <sz val="11"/>
        <color theme="1"/>
        <rFont val="맑은 고딕"/>
        <family val="3"/>
        <charset val="129"/>
        <scheme val="minor"/>
      </rPr>
      <t>ambiguous</t>
    </r>
    <r>
      <rPr>
        <sz val="11"/>
        <color theme="1"/>
        <rFont val="맑은 고딕"/>
        <family val="3"/>
        <charset val="129"/>
        <scheme val="minor"/>
      </rPr>
      <t xml:space="preserve"> to sign.</t>
    </r>
    <phoneticPr fontId="1" type="noConversion"/>
  </si>
  <si>
    <r>
      <t xml:space="preserve">The stock market has been extremely </t>
    </r>
    <r>
      <rPr>
        <b/>
        <sz val="11"/>
        <color theme="1"/>
        <rFont val="맑은 고딕"/>
        <family val="3"/>
        <charset val="129"/>
        <scheme val="minor"/>
      </rPr>
      <t>volatile</t>
    </r>
    <r>
      <rPr>
        <sz val="11"/>
        <color theme="1"/>
        <rFont val="맑은 고딕"/>
        <family val="3"/>
        <charset val="129"/>
        <scheme val="minor"/>
      </rPr>
      <t xml:space="preserve"> this year.</t>
    </r>
    <phoneticPr fontId="1" type="noConversion"/>
  </si>
  <si>
    <r>
      <t xml:space="preserve">She sat quietly to </t>
    </r>
    <r>
      <rPr>
        <b/>
        <sz val="11"/>
        <color theme="1"/>
        <rFont val="맑은 고딕"/>
        <family val="3"/>
        <charset val="129"/>
        <scheme val="minor"/>
      </rPr>
      <t>contemplate</t>
    </r>
    <r>
      <rPr>
        <sz val="11"/>
        <color theme="1"/>
        <rFont val="맑은 고딕"/>
        <family val="3"/>
        <charset val="129"/>
        <scheme val="minor"/>
      </rPr>
      <t xml:space="preserve"> her future career.</t>
    </r>
    <phoneticPr fontId="1" type="noConversion"/>
  </si>
  <si>
    <r>
      <t xml:space="preserve">He is </t>
    </r>
    <r>
      <rPr>
        <b/>
        <sz val="11"/>
        <color theme="1"/>
        <rFont val="맑은 고딕"/>
        <family val="3"/>
        <charset val="129"/>
        <scheme val="minor"/>
      </rPr>
      <t>meticulous</t>
    </r>
    <r>
      <rPr>
        <sz val="11"/>
        <color theme="1"/>
        <rFont val="맑은 고딕"/>
        <family val="3"/>
        <charset val="129"/>
        <scheme val="minor"/>
      </rPr>
      <t xml:space="preserve"> about keeping his desk organized.</t>
    </r>
    <phoneticPr fontId="1" type="noConversion"/>
  </si>
  <si>
    <t>영구적인</t>
    <phoneticPr fontId="1" type="noConversion"/>
  </si>
  <si>
    <r>
      <t xml:space="preserve">The noise from the construction was </t>
    </r>
    <r>
      <rPr>
        <b/>
        <sz val="11"/>
        <color theme="1"/>
        <rFont val="맑은 고딕"/>
        <family val="3"/>
        <charset val="129"/>
        <scheme val="minor"/>
      </rPr>
      <t>perpetual</t>
    </r>
    <r>
      <rPr>
        <sz val="11"/>
        <color theme="1"/>
        <rFont val="맑은 고딕"/>
        <family val="3"/>
        <charset val="129"/>
        <scheme val="minor"/>
      </rPr>
      <t>.</t>
    </r>
    <phoneticPr fontId="1" type="noConversion"/>
  </si>
  <si>
    <r>
      <t xml:space="preserve">We should remove </t>
    </r>
    <r>
      <rPr>
        <b/>
        <sz val="11"/>
        <color theme="1"/>
        <rFont val="맑은 고딕"/>
        <family val="3"/>
        <charset val="129"/>
        <scheme val="minor"/>
      </rPr>
      <t>redundant</t>
    </r>
    <r>
      <rPr>
        <sz val="11"/>
        <color theme="1"/>
        <rFont val="맑은 고딕"/>
        <family val="3"/>
        <charset val="129"/>
        <scheme val="minor"/>
      </rPr>
      <t xml:space="preserve"> steps from the process.</t>
    </r>
    <phoneticPr fontId="1" type="noConversion"/>
  </si>
  <si>
    <r>
      <t xml:space="preserve">The budget is </t>
    </r>
    <r>
      <rPr>
        <b/>
        <sz val="11"/>
        <color theme="1"/>
        <rFont val="맑은 고딕"/>
        <family val="3"/>
        <charset val="129"/>
        <scheme val="minor"/>
      </rPr>
      <t>adequate</t>
    </r>
    <r>
      <rPr>
        <sz val="11"/>
        <color theme="1"/>
        <rFont val="맑은 고딕"/>
        <family val="3"/>
        <charset val="129"/>
        <scheme val="minor"/>
      </rPr>
      <t xml:space="preserve"> for the project.</t>
    </r>
    <phoneticPr fontId="1" type="noConversion"/>
  </si>
  <si>
    <r>
      <t xml:space="preserve">He was </t>
    </r>
    <r>
      <rPr>
        <b/>
        <sz val="11"/>
        <color theme="1"/>
        <rFont val="맑은 고딕"/>
        <family val="3"/>
        <charset val="129"/>
        <scheme val="minor"/>
      </rPr>
      <t>reluctant</t>
    </r>
    <r>
      <rPr>
        <sz val="11"/>
        <color theme="1"/>
        <rFont val="맑은 고딕"/>
        <family val="3"/>
        <charset val="129"/>
        <scheme val="minor"/>
      </rPr>
      <t xml:space="preserve"> to accept the new position.</t>
    </r>
    <phoneticPr fontId="1" type="noConversion"/>
  </si>
  <si>
    <r>
      <t xml:space="preserve">This bag is made of </t>
    </r>
    <r>
      <rPr>
        <b/>
        <sz val="11"/>
        <color theme="1"/>
        <rFont val="맑은 고딕"/>
        <family val="3"/>
        <charset val="129"/>
        <scheme val="minor"/>
      </rPr>
      <t>genuine</t>
    </r>
    <r>
      <rPr>
        <sz val="11"/>
        <color theme="1"/>
        <rFont val="맑은 고딕"/>
        <family val="3"/>
        <charset val="129"/>
        <scheme val="minor"/>
      </rPr>
      <t xml:space="preserve"> leather.</t>
    </r>
    <phoneticPr fontId="1" type="noConversion"/>
  </si>
  <si>
    <r>
      <t xml:space="preserve">The job is only </t>
    </r>
    <r>
      <rPr>
        <b/>
        <sz val="11"/>
        <color theme="1"/>
        <rFont val="맑은 고딕"/>
        <family val="3"/>
        <charset val="129"/>
        <scheme val="minor"/>
      </rPr>
      <t>temporary</t>
    </r>
    <r>
      <rPr>
        <sz val="11"/>
        <color theme="1"/>
        <rFont val="맑은 고딕"/>
        <family val="3"/>
        <charset val="129"/>
        <scheme val="minor"/>
      </rPr>
      <t>, lasting three months.</t>
    </r>
    <phoneticPr fontId="1" type="noConversion"/>
  </si>
  <si>
    <r>
      <t xml:space="preserve">An </t>
    </r>
    <r>
      <rPr>
        <b/>
        <sz val="11"/>
        <color theme="1"/>
        <rFont val="맑은 고딕"/>
        <family val="3"/>
        <charset val="129"/>
        <scheme val="minor"/>
      </rPr>
      <t>efficient</t>
    </r>
    <r>
      <rPr>
        <sz val="11"/>
        <color theme="1"/>
        <rFont val="맑은 고딕"/>
        <family val="3"/>
        <charset val="129"/>
        <scheme val="minor"/>
      </rPr>
      <t xml:space="preserve"> worker can finish tasks ahead of schedule.</t>
    </r>
    <phoneticPr fontId="1" type="noConversion"/>
  </si>
  <si>
    <r>
      <t xml:space="preserve">It costs a lot to </t>
    </r>
    <r>
      <rPr>
        <b/>
        <sz val="11"/>
        <color theme="1"/>
        <rFont val="맑은 고딕"/>
        <family val="3"/>
        <charset val="129"/>
        <scheme val="minor"/>
      </rPr>
      <t>maintain</t>
    </r>
    <r>
      <rPr>
        <sz val="11"/>
        <color theme="1"/>
        <rFont val="맑은 고딕"/>
        <family val="3"/>
        <charset val="129"/>
        <scheme val="minor"/>
      </rPr>
      <t xml:space="preserve"> an old building.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</si>
  <si>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approximate</t>
    </r>
    <r>
      <rPr>
        <sz val="11"/>
        <color theme="1"/>
        <rFont val="맑은 고딕"/>
        <family val="3"/>
        <charset val="129"/>
        <scheme val="minor"/>
      </rPr>
      <t xml:space="preserve"> cost of the trip is $2,000.</t>
    </r>
    <phoneticPr fontId="1" type="noConversion"/>
  </si>
  <si>
    <r>
      <t xml:space="preserve">It was </t>
    </r>
    <r>
      <rPr>
        <b/>
        <sz val="11"/>
        <color theme="1"/>
        <rFont val="맑은 고딕"/>
        <family val="3"/>
        <charset val="129"/>
        <scheme val="minor"/>
      </rPr>
      <t>obvious</t>
    </r>
    <r>
      <rPr>
        <sz val="11"/>
        <color theme="1"/>
        <rFont val="맑은 고딕"/>
        <family val="3"/>
        <charset val="129"/>
        <scheme val="minor"/>
      </rPr>
      <t xml:space="preserve"> that she was lying.</t>
    </r>
    <phoneticPr fontId="1" type="noConversion"/>
  </si>
  <si>
    <r>
      <t xml:space="preserve">New York is known for its </t>
    </r>
    <r>
      <rPr>
        <b/>
        <sz val="11"/>
        <color theme="1"/>
        <rFont val="맑은 고딕"/>
        <family val="3"/>
        <charset val="129"/>
        <scheme val="minor"/>
      </rPr>
      <t>diverse</t>
    </r>
    <r>
      <rPr>
        <sz val="11"/>
        <color theme="1"/>
        <rFont val="맑은 고딕"/>
        <family val="3"/>
        <charset val="129"/>
        <scheme val="minor"/>
      </rPr>
      <t xml:space="preserve"> population.</t>
    </r>
    <phoneticPr fontId="1" type="noConversion"/>
  </si>
  <si>
    <r>
      <t xml:space="preserve">The company will </t>
    </r>
    <r>
      <rPr>
        <b/>
        <sz val="11"/>
        <color theme="1"/>
        <rFont val="맑은 고딕"/>
        <family val="3"/>
        <charset val="129"/>
        <scheme val="minor"/>
      </rPr>
      <t>compensate</t>
    </r>
    <r>
      <rPr>
        <sz val="11"/>
        <color theme="1"/>
        <rFont val="맑은 고딕"/>
        <family val="3"/>
        <charset val="129"/>
        <scheme val="minor"/>
      </rPr>
      <t xml:space="preserve"> you for the overtime work.</t>
    </r>
    <phoneticPr fontId="1" type="noConversion"/>
  </si>
  <si>
    <r>
      <t xml:space="preserve">The region has an </t>
    </r>
    <r>
      <rPr>
        <b/>
        <sz val="11"/>
        <color theme="1"/>
        <rFont val="맑은 고딕"/>
        <family val="3"/>
        <charset val="129"/>
        <scheme val="minor"/>
      </rPr>
      <t>abundant</t>
    </r>
    <r>
      <rPr>
        <sz val="11"/>
        <color theme="1"/>
        <rFont val="맑은 고딕"/>
        <family val="3"/>
        <charset val="129"/>
        <scheme val="minor"/>
      </rPr>
      <t xml:space="preserve"> supply of fresh water.</t>
    </r>
    <phoneticPr fontId="1" type="noConversion"/>
  </si>
  <si>
    <r>
      <t xml:space="preserve">Children </t>
    </r>
    <r>
      <rPr>
        <b/>
        <sz val="11"/>
        <color theme="1"/>
        <rFont val="맑은 고딕"/>
        <family val="3"/>
        <charset val="129"/>
        <scheme val="minor"/>
      </rPr>
      <t>perceive</t>
    </r>
    <r>
      <rPr>
        <sz val="11"/>
        <color theme="1"/>
        <rFont val="맑은 고딕"/>
        <family val="3"/>
        <charset val="129"/>
        <scheme val="minor"/>
      </rPr>
      <t xml:space="preserve"> the world differently from adults.</t>
    </r>
    <phoneticPr fontId="1" type="noConversion"/>
  </si>
  <si>
    <r>
      <t xml:space="preserve">They plan to </t>
    </r>
    <r>
      <rPr>
        <b/>
        <sz val="11"/>
        <color theme="1"/>
        <rFont val="맑은 고딕"/>
        <family val="3"/>
        <charset val="129"/>
        <scheme val="minor"/>
      </rPr>
      <t>establish</t>
    </r>
    <r>
      <rPr>
        <sz val="11"/>
        <color theme="1"/>
        <rFont val="맑은 고딕"/>
        <family val="3"/>
        <charset val="129"/>
        <scheme val="minor"/>
      </rPr>
      <t xml:space="preserve"> a new branch in Seoul.</t>
    </r>
    <phoneticPr fontId="1" type="noConversion"/>
  </si>
  <si>
    <r>
      <t xml:space="preserve">Lack of funding was the biggest </t>
    </r>
    <r>
      <rPr>
        <b/>
        <sz val="11"/>
        <color theme="1"/>
        <rFont val="맑은 고딕"/>
        <family val="3"/>
        <charset val="129"/>
        <scheme val="minor"/>
      </rPr>
      <t>obstacle</t>
    </r>
    <r>
      <rPr>
        <sz val="11"/>
        <color theme="1"/>
        <rFont val="맑은 고딕"/>
        <family val="3"/>
        <charset val="129"/>
        <scheme val="minor"/>
      </rPr>
      <t xml:space="preserve"> to the project.</t>
    </r>
    <phoneticPr fontId="1" type="noConversion"/>
  </si>
  <si>
    <r>
      <t xml:space="preserve">This job </t>
    </r>
    <r>
      <rPr>
        <b/>
        <sz val="11"/>
        <color theme="1"/>
        <rFont val="맑은 고딕"/>
        <family val="3"/>
        <charset val="129"/>
        <scheme val="minor"/>
      </rPr>
      <t>requires</t>
    </r>
    <r>
      <rPr>
        <sz val="11"/>
        <color theme="1"/>
        <rFont val="맑은 고딕"/>
        <family val="3"/>
        <charset val="129"/>
        <scheme val="minor"/>
      </rPr>
      <t xml:space="preserve"> at least three years of experience.</t>
    </r>
    <phoneticPr fontId="1" type="noConversion"/>
  </si>
  <si>
    <r>
      <t xml:space="preserve">Regular exercise has many health </t>
    </r>
    <r>
      <rPr>
        <b/>
        <sz val="11"/>
        <color theme="1"/>
        <rFont val="맑은 고딕"/>
        <family val="3"/>
        <charset val="129"/>
        <scheme val="minor"/>
      </rPr>
      <t>benefits</t>
    </r>
    <r>
      <rPr>
        <sz val="11"/>
        <color theme="1"/>
        <rFont val="맑은 고딕"/>
        <family val="3"/>
        <charset val="129"/>
        <scheme val="minor"/>
      </rPr>
      <t>.</t>
    </r>
    <phoneticPr fontId="1" type="noConversion"/>
  </si>
  <si>
    <r>
      <t xml:space="preserve">She </t>
    </r>
    <r>
      <rPr>
        <b/>
        <sz val="11"/>
        <color theme="1"/>
        <rFont val="맑은 고딕"/>
        <family val="3"/>
        <charset val="129"/>
        <scheme val="minor"/>
      </rPr>
      <t>contributed</t>
    </r>
    <r>
      <rPr>
        <sz val="11"/>
        <color theme="1"/>
        <rFont val="맑은 고딕"/>
        <family val="3"/>
        <charset val="129"/>
        <scheme val="minor"/>
      </rPr>
      <t xml:space="preserve"> $500 to the charity.</t>
    </r>
    <phoneticPr fontId="1" type="noConversion"/>
  </si>
  <si>
    <r>
      <t xml:space="preserve">Education is the </t>
    </r>
    <r>
      <rPr>
        <b/>
        <sz val="11"/>
        <color theme="1"/>
        <rFont val="맑은 고딕"/>
        <family val="3"/>
        <charset val="129"/>
        <scheme val="minor"/>
      </rPr>
      <t>primary</t>
    </r>
    <r>
      <rPr>
        <sz val="11"/>
        <color theme="1"/>
        <rFont val="맑은 고딕"/>
        <family val="3"/>
        <charset val="129"/>
        <scheme val="minor"/>
      </rPr>
      <t xml:space="preserve"> goal of this program.</t>
    </r>
    <phoneticPr fontId="1" type="noConversion"/>
  </si>
  <si>
    <r>
      <t xml:space="preserve">The data </t>
    </r>
    <r>
      <rPr>
        <b/>
        <sz val="11"/>
        <color theme="1"/>
        <rFont val="맑은 고딕"/>
        <family val="3"/>
        <charset val="129"/>
        <scheme val="minor"/>
      </rPr>
      <t>indicates</t>
    </r>
    <r>
      <rPr>
        <sz val="11"/>
        <color theme="1"/>
        <rFont val="맑은 고딕"/>
        <family val="3"/>
        <charset val="129"/>
        <scheme val="minor"/>
      </rPr>
      <t xml:space="preserve"> a sharp increase in sales.</t>
    </r>
    <phoneticPr fontId="1" type="noConversion"/>
  </si>
  <si>
    <r>
      <t xml:space="preserve">He managed to </t>
    </r>
    <r>
      <rPr>
        <b/>
        <sz val="11"/>
        <color theme="1"/>
        <rFont val="맑은 고딕"/>
        <family val="3"/>
        <charset val="129"/>
        <scheme val="minor"/>
      </rPr>
      <t>obtain</t>
    </r>
    <r>
      <rPr>
        <sz val="11"/>
        <color theme="1"/>
        <rFont val="맑은 고딕"/>
        <family val="3"/>
        <charset val="129"/>
        <scheme val="minor"/>
      </rPr>
      <t xml:space="preserve"> a visa after several attempts.</t>
    </r>
    <phoneticPr fontId="1" type="noConversion"/>
  </si>
  <si>
    <r>
      <t xml:space="preserve">I really </t>
    </r>
    <r>
      <rPr>
        <b/>
        <sz val="11"/>
        <color theme="1"/>
        <rFont val="맑은 고딕"/>
        <family val="3"/>
        <charset val="129"/>
        <scheme val="minor"/>
      </rPr>
      <t>appreciate</t>
    </r>
    <r>
      <rPr>
        <sz val="11"/>
        <color theme="1"/>
        <rFont val="맑은 고딕"/>
        <family val="3"/>
        <charset val="129"/>
        <scheme val="minor"/>
      </rPr>
      <t xml:space="preserve"> your help with this project.</t>
    </r>
    <phoneticPr fontId="1" type="noConversion"/>
  </si>
  <si>
    <r>
      <t xml:space="preserve">She tried to </t>
    </r>
    <r>
      <rPr>
        <b/>
        <sz val="11"/>
        <color theme="1"/>
        <rFont val="맑은 고딕"/>
        <family val="3"/>
        <charset val="129"/>
        <scheme val="minor"/>
      </rPr>
      <t>concentrate</t>
    </r>
    <r>
      <rPr>
        <sz val="11"/>
        <color theme="1"/>
        <rFont val="맑은 고딕"/>
        <family val="3"/>
        <charset val="129"/>
        <scheme val="minor"/>
      </rPr>
      <t xml:space="preserve"> on studying, but the noise was too loud.</t>
    </r>
    <phoneticPr fontId="1" type="noConversion"/>
  </si>
  <si>
    <r>
      <t xml:space="preserve">The committee will </t>
    </r>
    <r>
      <rPr>
        <b/>
        <sz val="11"/>
        <color theme="1"/>
        <rFont val="맑은 고딕"/>
        <family val="3"/>
        <charset val="129"/>
        <scheme val="minor"/>
      </rPr>
      <t>determine</t>
    </r>
    <r>
      <rPr>
        <sz val="11"/>
        <color theme="1"/>
        <rFont val="맑은 고딕"/>
        <family val="3"/>
        <charset val="129"/>
        <scheme val="minor"/>
      </rPr>
      <t xml:space="preserve"> the final winner.</t>
    </r>
    <phoneticPr fontId="1" type="noConversion"/>
  </si>
  <si>
    <r>
      <t xml:space="preserve">We must </t>
    </r>
    <r>
      <rPr>
        <b/>
        <sz val="11"/>
        <color theme="1"/>
        <rFont val="맑은 고딕"/>
        <family val="3"/>
        <charset val="129"/>
        <scheme val="minor"/>
      </rPr>
      <t>eliminate</t>
    </r>
    <r>
      <rPr>
        <sz val="11"/>
        <color theme="1"/>
        <rFont val="맑은 고딕"/>
        <family val="3"/>
        <charset val="129"/>
        <scheme val="minor"/>
      </rPr>
      <t xml:space="preserve"> all errors before launching the product.</t>
    </r>
    <phoneticPr fontId="1" type="noConversion"/>
  </si>
  <si>
    <r>
      <t xml:space="preserve">A </t>
    </r>
    <r>
      <rPr>
        <b/>
        <sz val="11"/>
        <color theme="1"/>
        <rFont val="맑은 고딕"/>
        <family val="3"/>
        <charset val="129"/>
        <scheme val="minor"/>
      </rPr>
      <t>flexible</t>
    </r>
    <r>
      <rPr>
        <sz val="11"/>
        <color theme="1"/>
        <rFont val="맑은 고딕"/>
        <family val="3"/>
        <charset val="129"/>
        <scheme val="minor"/>
      </rPr>
      <t xml:space="preserve"> schedule allows employees to work from home.</t>
    </r>
    <phoneticPr fontId="1" type="noConversion"/>
  </si>
  <si>
    <r>
      <t xml:space="preserve">The government plans to </t>
    </r>
    <r>
      <rPr>
        <b/>
        <sz val="11"/>
        <color theme="1"/>
        <rFont val="맑은 고딕"/>
        <family val="3"/>
        <charset val="129"/>
        <scheme val="minor"/>
      </rPr>
      <t>implement</t>
    </r>
    <r>
      <rPr>
        <sz val="11"/>
        <color theme="1"/>
        <rFont val="맑은 고딕"/>
        <family val="3"/>
        <charset val="129"/>
        <scheme val="minor"/>
      </rPr>
      <t xml:space="preserve"> the new policy next month.</t>
    </r>
    <phoneticPr fontId="1" type="noConversion"/>
  </si>
  <si>
    <r>
      <t xml:space="preserve">How can you </t>
    </r>
    <r>
      <rPr>
        <b/>
        <sz val="11"/>
        <color theme="1"/>
        <rFont val="맑은 고딕"/>
        <family val="3"/>
        <charset val="129"/>
        <scheme val="minor"/>
      </rPr>
      <t>justify</t>
    </r>
    <r>
      <rPr>
        <sz val="11"/>
        <color theme="1"/>
        <rFont val="맑은 고딕"/>
        <family val="3"/>
        <charset val="129"/>
        <scheme val="minor"/>
      </rPr>
      <t xml:space="preserve"> spending so much money on this?</t>
    </r>
    <phoneticPr fontId="1" type="noConversion"/>
  </si>
  <si>
    <r>
      <t xml:space="preserve">The two countries agreed to </t>
    </r>
    <r>
      <rPr>
        <b/>
        <sz val="11"/>
        <color theme="1"/>
        <rFont val="맑은 고딕"/>
        <family val="3"/>
        <charset val="129"/>
        <scheme val="minor"/>
      </rPr>
      <t>negotiate</t>
    </r>
    <r>
      <rPr>
        <sz val="11"/>
        <color theme="1"/>
        <rFont val="맑은 고딕"/>
        <family val="3"/>
        <charset val="129"/>
        <scheme val="minor"/>
      </rPr>
      <t xml:space="preserve"> a peace treaty.</t>
    </r>
    <phoneticPr fontId="1" type="noConversion"/>
  </si>
  <si>
    <r>
      <t xml:space="preserve">You should </t>
    </r>
    <r>
      <rPr>
        <b/>
        <sz val="11"/>
        <color theme="1"/>
        <rFont val="맑은 고딕"/>
        <family val="3"/>
        <charset val="129"/>
        <scheme val="minor"/>
      </rPr>
      <t>prioritize</t>
    </r>
    <r>
      <rPr>
        <sz val="11"/>
        <color theme="1"/>
        <rFont val="맑은 고딕"/>
        <family val="3"/>
        <charset val="129"/>
        <scheme val="minor"/>
      </rPr>
      <t xml:space="preserve"> your health over work.</t>
    </r>
    <phoneticPr fontId="1" type="noConversion"/>
  </si>
  <si>
    <r>
      <t xml:space="preserve">It is hard to </t>
    </r>
    <r>
      <rPr>
        <b/>
        <sz val="11"/>
        <color theme="1"/>
        <rFont val="맑은 고딕"/>
        <family val="3"/>
        <charset val="129"/>
        <scheme val="minor"/>
      </rPr>
      <t>sustain</t>
    </r>
    <r>
      <rPr>
        <sz val="11"/>
        <color theme="1"/>
        <rFont val="맑은 고딕"/>
        <family val="3"/>
        <charset val="129"/>
        <scheme val="minor"/>
      </rPr>
      <t xml:space="preserve"> economic growth without innovation.</t>
    </r>
    <phoneticPr fontId="1" type="noConversion"/>
  </si>
  <si>
    <r>
      <t xml:space="preserve">Let's </t>
    </r>
    <r>
      <rPr>
        <b/>
        <sz val="11"/>
        <color theme="1"/>
        <rFont val="맑은 고딕"/>
        <family val="3"/>
        <charset val="129"/>
        <scheme val="minor"/>
      </rPr>
      <t>assume</t>
    </r>
    <r>
      <rPr>
        <sz val="11"/>
        <color theme="1"/>
        <rFont val="맑은 고딕"/>
        <family val="3"/>
        <charset val="129"/>
        <scheme val="minor"/>
      </rPr>
      <t xml:space="preserve"> the project will take six months.</t>
    </r>
    <phoneticPr fontId="1" type="noConversion"/>
  </si>
  <si>
    <r>
      <t xml:space="preserve">The stadium has a </t>
    </r>
    <r>
      <rPr>
        <b/>
        <sz val="11"/>
        <color theme="1"/>
        <rFont val="맑은 고딕"/>
        <family val="3"/>
        <charset val="129"/>
        <scheme val="minor"/>
      </rPr>
      <t>capacity</t>
    </r>
    <r>
      <rPr>
        <sz val="11"/>
        <color theme="1"/>
        <rFont val="맑은 고딕"/>
        <family val="3"/>
        <charset val="129"/>
        <scheme val="minor"/>
      </rPr>
      <t xml:space="preserve"> of 50,000 people.</t>
    </r>
    <phoneticPr fontId="1" type="noConversion"/>
  </si>
  <si>
    <r>
      <t xml:space="preserve">The experiment </t>
    </r>
    <r>
      <rPr>
        <b/>
        <sz val="11"/>
        <color theme="1"/>
        <rFont val="맑은 고딕"/>
        <family val="3"/>
        <charset val="129"/>
        <scheme val="minor"/>
      </rPr>
      <t>demonstrated</t>
    </r>
    <r>
      <rPr>
        <sz val="11"/>
        <color theme="1"/>
        <rFont val="맑은 고딕"/>
        <family val="3"/>
        <charset val="129"/>
        <scheme val="minor"/>
      </rPr>
      <t xml:space="preserve"> that the theory was correct.</t>
    </r>
    <phoneticPr fontId="1" type="noConversion"/>
  </si>
  <si>
    <r>
      <t xml:space="preserve">He </t>
    </r>
    <r>
      <rPr>
        <b/>
        <sz val="11"/>
        <color theme="1"/>
        <rFont val="맑은 고딕"/>
        <family val="3"/>
        <charset val="129"/>
        <scheme val="minor"/>
      </rPr>
      <t>eventually</t>
    </r>
    <r>
      <rPr>
        <sz val="11"/>
        <color theme="1"/>
        <rFont val="맑은 고딕"/>
        <family val="3"/>
        <charset val="129"/>
        <scheme val="minor"/>
      </rPr>
      <t xml:space="preserve"> passed the exam after failing twice.</t>
    </r>
    <phoneticPr fontId="1" type="noConversion"/>
  </si>
  <si>
    <r>
      <t xml:space="preserve">The plan is too expensive. </t>
    </r>
    <r>
      <rPr>
        <b/>
        <sz val="11"/>
        <color theme="1"/>
        <rFont val="맑은 고딕"/>
        <family val="3"/>
        <charset val="129"/>
        <scheme val="minor"/>
      </rPr>
      <t>Furthermore</t>
    </r>
    <r>
      <rPr>
        <sz val="11"/>
        <color theme="1"/>
        <rFont val="맑은 고딕"/>
        <family val="3"/>
        <charset val="129"/>
        <scheme val="minor"/>
      </rPr>
      <t>, it will take too long.</t>
    </r>
    <phoneticPr fontId="1" type="noConversion"/>
  </si>
  <si>
    <r>
      <t xml:space="preserve">We need an </t>
    </r>
    <r>
      <rPr>
        <b/>
        <sz val="11"/>
        <color theme="1"/>
        <rFont val="맑은 고딕"/>
        <family val="3"/>
        <charset val="129"/>
        <scheme val="minor"/>
      </rPr>
      <t>immediate</t>
    </r>
    <r>
      <rPr>
        <sz val="11"/>
        <color theme="1"/>
        <rFont val="맑은 고딕"/>
        <family val="3"/>
        <charset val="129"/>
        <scheme val="minor"/>
      </rPr>
      <t xml:space="preserve"> response to this emergency.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</si>
  <si>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minimum</t>
    </r>
    <r>
      <rPr>
        <sz val="11"/>
        <color theme="1"/>
        <rFont val="맑은 고딕"/>
        <family val="3"/>
        <charset val="129"/>
        <scheme val="minor"/>
      </rPr>
      <t xml:space="preserve"> age to apply is 18 years old.</t>
    </r>
    <phoneticPr fontId="1" type="noConversion"/>
  </si>
  <si>
    <r>
      <t xml:space="preserve">Try to see the issue from a different </t>
    </r>
    <r>
      <rPr>
        <b/>
        <sz val="11"/>
        <color theme="1"/>
        <rFont val="맑은 고딕"/>
        <family val="3"/>
        <charset val="129"/>
        <scheme val="minor"/>
      </rPr>
      <t>perspective</t>
    </r>
    <r>
      <rPr>
        <sz val="11"/>
        <color theme="1"/>
        <rFont val="맑은 고딕"/>
        <family val="3"/>
        <charset val="129"/>
        <scheme val="minor"/>
      </rPr>
      <t>.</t>
    </r>
    <phoneticPr fontId="1" type="noConversion"/>
  </si>
  <si>
    <r>
      <t xml:space="preserve">The company made a </t>
    </r>
    <r>
      <rPr>
        <b/>
        <sz val="11"/>
        <color theme="1"/>
        <rFont val="맑은 고딕"/>
        <family val="3"/>
        <charset val="129"/>
        <scheme val="minor"/>
      </rPr>
      <t>substantial</t>
    </r>
    <r>
      <rPr>
        <sz val="11"/>
        <color theme="1"/>
        <rFont val="맑은 고딕"/>
        <family val="3"/>
        <charset val="129"/>
        <scheme val="minor"/>
      </rPr>
      <t xml:space="preserve"> profit this quarter.</t>
    </r>
    <phoneticPr fontId="1" type="noConversion"/>
  </si>
  <si>
    <r>
      <t xml:space="preserve">She had to </t>
    </r>
    <r>
      <rPr>
        <b/>
        <sz val="11"/>
        <color theme="1"/>
        <rFont val="맑은 고딕"/>
        <family val="3"/>
        <charset val="129"/>
        <scheme val="minor"/>
      </rPr>
      <t>undergo</t>
    </r>
    <r>
      <rPr>
        <sz val="11"/>
        <color theme="1"/>
        <rFont val="맑은 고딕"/>
        <family val="3"/>
        <charset val="129"/>
        <scheme val="minor"/>
      </rPr>
      <t xml:space="preserve"> surgery to fix her knee.</t>
    </r>
    <phoneticPr fontId="1" type="noConversion"/>
  </si>
  <si>
    <r>
      <t xml:space="preserve">He refused to </t>
    </r>
    <r>
      <rPr>
        <b/>
        <sz val="11"/>
        <color theme="1"/>
        <rFont val="맑은 고딕"/>
        <family val="3"/>
        <charset val="129"/>
        <scheme val="minor"/>
      </rPr>
      <t>acknowledge</t>
    </r>
    <r>
      <rPr>
        <sz val="11"/>
        <color theme="1"/>
        <rFont val="맑은 고딕"/>
        <family val="3"/>
        <charset val="129"/>
        <scheme val="minor"/>
      </rPr>
      <t xml:space="preserve"> his mistake.</t>
    </r>
    <phoneticPr fontId="1" type="noConversion"/>
  </si>
  <si>
    <r>
      <t xml:space="preserve">She is a </t>
    </r>
    <r>
      <rPr>
        <b/>
        <sz val="11"/>
        <color theme="1"/>
        <rFont val="맑은 고딕"/>
        <family val="3"/>
        <charset val="129"/>
        <scheme val="minor"/>
      </rPr>
      <t>competent</t>
    </r>
    <r>
      <rPr>
        <sz val="11"/>
        <color theme="1"/>
        <rFont val="맑은 고딕"/>
        <family val="3"/>
        <charset val="129"/>
        <scheme val="minor"/>
      </rPr>
      <t xml:space="preserve"> manager who handles crises well.</t>
    </r>
    <phoneticPr fontId="1" type="noConversion"/>
  </si>
  <si>
    <r>
      <t xml:space="preserve">There is a clear </t>
    </r>
    <r>
      <rPr>
        <b/>
        <sz val="11"/>
        <color theme="1"/>
        <rFont val="맑은 고딕"/>
        <family val="3"/>
        <charset val="129"/>
        <scheme val="minor"/>
      </rPr>
      <t>distinction</t>
    </r>
    <r>
      <rPr>
        <sz val="11"/>
        <color theme="1"/>
        <rFont val="맑은 고딕"/>
        <family val="3"/>
        <charset val="129"/>
        <scheme val="minor"/>
      </rPr>
      <t xml:space="preserve"> between right and wrong.</t>
    </r>
    <phoneticPr fontId="1" type="noConversion"/>
  </si>
  <si>
    <r>
      <t xml:space="preserve">This software update will </t>
    </r>
    <r>
      <rPr>
        <b/>
        <sz val="11"/>
        <color theme="1"/>
        <rFont val="맑은 고딕"/>
        <family val="3"/>
        <charset val="129"/>
        <scheme val="minor"/>
      </rPr>
      <t>enhance</t>
    </r>
    <r>
      <rPr>
        <sz val="11"/>
        <color theme="1"/>
        <rFont val="맑은 고딕"/>
        <family val="3"/>
        <charset val="129"/>
        <scheme val="minor"/>
      </rPr>
      <t xml:space="preserve"> the user experience.</t>
    </r>
    <phoneticPr fontId="1" type="noConversion"/>
  </si>
  <si>
    <t>fundamental</t>
    <phoneticPr fontId="1" type="noConversion"/>
  </si>
  <si>
    <t>inevitable</t>
    <phoneticPr fontId="1" type="noConversion"/>
  </si>
  <si>
    <t>moderate</t>
    <phoneticPr fontId="1" type="noConversion"/>
  </si>
  <si>
    <t>proportion</t>
    <phoneticPr fontId="1" type="noConversion"/>
  </si>
  <si>
    <t>subsequent</t>
    <phoneticPr fontId="1" type="noConversion"/>
  </si>
  <si>
    <t>valid</t>
    <phoneticPr fontId="1" type="noConversion"/>
  </si>
  <si>
    <t>contemporary</t>
    <phoneticPr fontId="1" type="noConversion"/>
  </si>
  <si>
    <t>distribute</t>
    <phoneticPr fontId="1" type="noConversion"/>
  </si>
  <si>
    <t>explicit</t>
    <phoneticPr fontId="1" type="noConversion"/>
  </si>
  <si>
    <t>generate</t>
    <phoneticPr fontId="1" type="noConversion"/>
  </si>
  <si>
    <t>integrity</t>
    <phoneticPr fontId="1" type="noConversion"/>
  </si>
  <si>
    <t>notable</t>
    <phoneticPr fontId="1" type="noConversion"/>
  </si>
  <si>
    <t>pursue</t>
    <phoneticPr fontId="1" type="noConversion"/>
  </si>
  <si>
    <t>thereby</t>
    <phoneticPr fontId="1" type="noConversion"/>
  </si>
  <si>
    <t>veirfy</t>
    <phoneticPr fontId="1" type="noConversion"/>
  </si>
  <si>
    <t>advocate</t>
    <phoneticPr fontId="1" type="noConversion"/>
  </si>
  <si>
    <t>comprehensive</t>
    <phoneticPr fontId="1" type="noConversion"/>
  </si>
  <si>
    <t>decline</t>
    <phoneticPr fontId="1" type="noConversion"/>
  </si>
  <si>
    <t>emphasize</t>
    <phoneticPr fontId="1" type="noConversion"/>
  </si>
  <si>
    <t>guarantee</t>
    <phoneticPr fontId="1" type="noConversion"/>
  </si>
  <si>
    <t>interpret</t>
    <phoneticPr fontId="1" type="noConversion"/>
  </si>
  <si>
    <t>notion</t>
    <phoneticPr fontId="1" type="noConversion"/>
  </si>
  <si>
    <t>preliminary</t>
    <phoneticPr fontId="1" type="noConversion"/>
  </si>
  <si>
    <t>suppress</t>
    <phoneticPr fontId="1" type="noConversion"/>
  </si>
  <si>
    <t>virtue</t>
    <phoneticPr fontId="1" type="noConversion"/>
  </si>
  <si>
    <t>accumulate</t>
    <phoneticPr fontId="1" type="noConversion"/>
  </si>
  <si>
    <t>burden</t>
    <phoneticPr fontId="1" type="noConversion"/>
  </si>
  <si>
    <t>derive</t>
    <phoneticPr fontId="1" type="noConversion"/>
  </si>
  <si>
    <t>elaborate</t>
    <phoneticPr fontId="1" type="noConversion"/>
  </si>
  <si>
    <t>grant</t>
    <phoneticPr fontId="1" type="noConversion"/>
  </si>
  <si>
    <t>outcome</t>
    <phoneticPr fontId="1" type="noConversion"/>
  </si>
  <si>
    <t>principal</t>
    <phoneticPr fontId="1" type="noConversion"/>
  </si>
  <si>
    <t>withdraw</t>
    <phoneticPr fontId="1" type="noConversion"/>
  </si>
  <si>
    <t>abolish</t>
    <phoneticPr fontId="1" type="noConversion"/>
  </si>
  <si>
    <t>conclude</t>
    <phoneticPr fontId="1" type="noConversion"/>
  </si>
  <si>
    <t>diminish</t>
    <phoneticPr fontId="1" type="noConversion"/>
  </si>
  <si>
    <t>permanent</t>
    <phoneticPr fontId="1" type="noConversion"/>
  </si>
  <si>
    <t>transition</t>
    <phoneticPr fontId="1" type="noConversion"/>
  </si>
  <si>
    <t>coherent</t>
    <phoneticPr fontId="1" type="noConversion"/>
  </si>
  <si>
    <t>impartial</t>
    <phoneticPr fontId="1" type="noConversion"/>
  </si>
  <si>
    <t>prominent</t>
    <phoneticPr fontId="1" type="noConversion"/>
  </si>
  <si>
    <t>rigorous</t>
    <phoneticPr fontId="1" type="noConversion"/>
  </si>
  <si>
    <t>diligent</t>
    <phoneticPr fontId="1" type="noConversion"/>
  </si>
  <si>
    <t>versatile</t>
    <phoneticPr fontId="1" type="noConversion"/>
  </si>
  <si>
    <t>concise</t>
    <phoneticPr fontId="1" type="noConversion"/>
  </si>
  <si>
    <t>obsolete</t>
    <phoneticPr fontId="1" type="noConversion"/>
  </si>
  <si>
    <t>plausible</t>
    <phoneticPr fontId="1" type="noConversion"/>
  </si>
  <si>
    <t>trivial</t>
    <phoneticPr fontId="1" type="noConversion"/>
  </si>
  <si>
    <t>notify</t>
    <phoneticPr fontId="1" type="noConversion"/>
  </si>
  <si>
    <t>retain</t>
    <phoneticPr fontId="1" type="noConversion"/>
  </si>
  <si>
    <t>feasible</t>
    <phoneticPr fontId="1" type="noConversion"/>
  </si>
  <si>
    <t>undermine</t>
    <phoneticPr fontId="1" type="noConversion"/>
  </si>
  <si>
    <t>prudent</t>
    <phoneticPr fontId="1" type="noConversion"/>
  </si>
  <si>
    <t>기본적인</t>
    <phoneticPr fontId="1" type="noConversion"/>
  </si>
  <si>
    <t>불가피한</t>
    <phoneticPr fontId="1" type="noConversion"/>
  </si>
  <si>
    <t>적당한</t>
    <phoneticPr fontId="1" type="noConversion"/>
  </si>
  <si>
    <t>비율</t>
    <phoneticPr fontId="1" type="noConversion"/>
  </si>
  <si>
    <t>후속의, 그 다음의</t>
    <phoneticPr fontId="1" type="noConversion"/>
  </si>
  <si>
    <t>유효한, 타당한</t>
    <phoneticPr fontId="1" type="noConversion"/>
  </si>
  <si>
    <t>현대의</t>
    <phoneticPr fontId="1" type="noConversion"/>
  </si>
  <si>
    <t>분배하다</t>
    <phoneticPr fontId="1" type="noConversion"/>
  </si>
  <si>
    <t>명확한</t>
    <phoneticPr fontId="1" type="noConversion"/>
  </si>
  <si>
    <t>생성하다</t>
    <phoneticPr fontId="1" type="noConversion"/>
  </si>
  <si>
    <t>진실성, 정직성</t>
    <phoneticPr fontId="1" type="noConversion"/>
  </si>
  <si>
    <t>주목할만한, 현저한</t>
    <phoneticPr fontId="1" type="noConversion"/>
  </si>
  <si>
    <t>추구하다</t>
    <phoneticPr fontId="1" type="noConversion"/>
  </si>
  <si>
    <t>그것에 의해</t>
    <phoneticPr fontId="1" type="noConversion"/>
  </si>
  <si>
    <t>검증하다, 확인하다</t>
    <phoneticPr fontId="1" type="noConversion"/>
  </si>
  <si>
    <t>옹호하다, 주장하다</t>
    <phoneticPr fontId="1" type="noConversion"/>
  </si>
  <si>
    <t>포괄적인, 종합적인</t>
    <phoneticPr fontId="1" type="noConversion"/>
  </si>
  <si>
    <t>감소하다</t>
    <phoneticPr fontId="1" type="noConversion"/>
  </si>
  <si>
    <t>강조하다</t>
    <phoneticPr fontId="1" type="noConversion"/>
  </si>
  <si>
    <t>보증하다</t>
    <phoneticPr fontId="1" type="noConversion"/>
  </si>
  <si>
    <t>해석하다</t>
    <phoneticPr fontId="1" type="noConversion"/>
  </si>
  <si>
    <t>개념, 생각</t>
    <phoneticPr fontId="1" type="noConversion"/>
  </si>
  <si>
    <t>예비의, 초기의</t>
    <phoneticPr fontId="1" type="noConversion"/>
  </si>
  <si>
    <t>억압하다</t>
    <phoneticPr fontId="1" type="noConversion"/>
  </si>
  <si>
    <t>장점</t>
    <phoneticPr fontId="1" type="noConversion"/>
  </si>
  <si>
    <t>짐</t>
    <phoneticPr fontId="1" type="noConversion"/>
  </si>
  <si>
    <t>축적하다</t>
    <phoneticPr fontId="1" type="noConversion"/>
  </si>
  <si>
    <t>유래하다, 얻다</t>
    <phoneticPr fontId="1" type="noConversion"/>
  </si>
  <si>
    <t>정교한, 상세히 설명하다</t>
    <phoneticPr fontId="1" type="noConversion"/>
  </si>
  <si>
    <t>승인하다</t>
    <phoneticPr fontId="1" type="noConversion"/>
  </si>
  <si>
    <t>결과</t>
    <phoneticPr fontId="1" type="noConversion"/>
  </si>
  <si>
    <t>주요한, 교장</t>
    <phoneticPr fontId="1" type="noConversion"/>
  </si>
  <si>
    <t>철회하다</t>
    <phoneticPr fontId="1" type="noConversion"/>
  </si>
  <si>
    <t>폐지하다</t>
    <phoneticPr fontId="1" type="noConversion"/>
  </si>
  <si>
    <t>결론짓다, 끝내다</t>
    <phoneticPr fontId="1" type="noConversion"/>
  </si>
  <si>
    <t>전환, 과도기</t>
    <phoneticPr fontId="1" type="noConversion"/>
  </si>
  <si>
    <t>일관성있는</t>
    <phoneticPr fontId="1" type="noConversion"/>
  </si>
  <si>
    <t>공평한</t>
    <phoneticPr fontId="1" type="noConversion"/>
  </si>
  <si>
    <t>저명한</t>
    <phoneticPr fontId="1" type="noConversion"/>
  </si>
  <si>
    <t>엄격한</t>
    <phoneticPr fontId="1" type="noConversion"/>
  </si>
  <si>
    <t>근면한</t>
    <phoneticPr fontId="1" type="noConversion"/>
  </si>
  <si>
    <t>다재다능한</t>
    <phoneticPr fontId="1" type="noConversion"/>
  </si>
  <si>
    <t>간결한</t>
    <phoneticPr fontId="1" type="noConversion"/>
  </si>
  <si>
    <t>구식의</t>
    <phoneticPr fontId="1" type="noConversion"/>
  </si>
  <si>
    <t>그럴듯한</t>
    <phoneticPr fontId="1" type="noConversion"/>
  </si>
  <si>
    <t>하찮은</t>
    <phoneticPr fontId="1" type="noConversion"/>
  </si>
  <si>
    <t>통지하다</t>
    <phoneticPr fontId="1" type="noConversion"/>
  </si>
  <si>
    <t>보유하다</t>
    <phoneticPr fontId="1" type="noConversion"/>
  </si>
  <si>
    <t>실행가능한</t>
    <phoneticPr fontId="1" type="noConversion"/>
  </si>
  <si>
    <t>악화시키다</t>
    <phoneticPr fontId="1" type="noConversion"/>
  </si>
  <si>
    <t>신중한</t>
    <phoneticPr fontId="1" type="noConversion"/>
  </si>
  <si>
    <t>tangible</t>
    <phoneticPr fontId="1" type="noConversion"/>
  </si>
  <si>
    <t>만질 수 있는</t>
    <phoneticPr fontId="1" type="noConversion"/>
  </si>
  <si>
    <t>arbitary</t>
    <phoneticPr fontId="1" type="noConversion"/>
  </si>
  <si>
    <t>profound</t>
    <phoneticPr fontId="1" type="noConversion"/>
  </si>
  <si>
    <t>inherent</t>
    <phoneticPr fontId="1" type="noConversion"/>
  </si>
  <si>
    <t>tedious</t>
    <phoneticPr fontId="1" type="noConversion"/>
  </si>
  <si>
    <t>foster</t>
    <phoneticPr fontId="1" type="noConversion"/>
  </si>
  <si>
    <t>skeptical</t>
    <phoneticPr fontId="1" type="noConversion"/>
  </si>
  <si>
    <t>deteriorate</t>
    <phoneticPr fontId="1" type="noConversion"/>
  </si>
  <si>
    <t>indispensable</t>
    <phoneticPr fontId="1" type="noConversion"/>
  </si>
  <si>
    <t>persistent</t>
    <phoneticPr fontId="1" type="noConversion"/>
  </si>
  <si>
    <t>alleviate</t>
    <phoneticPr fontId="1" type="noConversion"/>
  </si>
  <si>
    <t>conspicuous</t>
    <phoneticPr fontId="1" type="noConversion"/>
  </si>
  <si>
    <t>confront</t>
    <phoneticPr fontId="1" type="noConversion"/>
  </si>
  <si>
    <t>depict</t>
    <phoneticPr fontId="1" type="noConversion"/>
  </si>
  <si>
    <t>dismiss</t>
    <phoneticPr fontId="1" type="noConversion"/>
  </si>
  <si>
    <t>fluctuate</t>
    <phoneticPr fontId="1" type="noConversion"/>
  </si>
  <si>
    <t>incentive</t>
    <phoneticPr fontId="1" type="noConversion"/>
  </si>
  <si>
    <t>legitmate</t>
    <phoneticPr fontId="1" type="noConversion"/>
  </si>
  <si>
    <t>negligible</t>
    <phoneticPr fontId="1" type="noConversion"/>
  </si>
  <si>
    <t>precede</t>
    <phoneticPr fontId="1" type="noConversion"/>
  </si>
  <si>
    <t>refute</t>
    <phoneticPr fontId="1" type="noConversion"/>
  </si>
  <si>
    <t>simultaneous</t>
    <phoneticPr fontId="1" type="noConversion"/>
  </si>
  <si>
    <t>unanimous</t>
    <phoneticPr fontId="1" type="noConversion"/>
  </si>
  <si>
    <t>anonymous</t>
    <phoneticPr fontId="1" type="noConversion"/>
  </si>
  <si>
    <t>익명의</t>
    <phoneticPr fontId="1" type="noConversion"/>
  </si>
  <si>
    <t>utilize</t>
    <phoneticPr fontId="1" type="noConversion"/>
  </si>
  <si>
    <t>accelerate</t>
    <phoneticPr fontId="1" type="noConversion"/>
  </si>
  <si>
    <t>benevolent</t>
    <phoneticPr fontId="1" type="noConversion"/>
  </si>
  <si>
    <t>cautious</t>
    <phoneticPr fontId="1" type="noConversion"/>
  </si>
  <si>
    <t>decipher</t>
    <phoneticPr fontId="1" type="noConversion"/>
  </si>
  <si>
    <t>fragile</t>
    <phoneticPr fontId="1" type="noConversion"/>
  </si>
  <si>
    <t>disposable</t>
    <phoneticPr fontId="1" type="noConversion"/>
  </si>
  <si>
    <t>excuse</t>
    <phoneticPr fontId="1" type="noConversion"/>
  </si>
  <si>
    <t>imitate</t>
    <phoneticPr fontId="1" type="noConversion"/>
  </si>
  <si>
    <t>suspend</t>
    <phoneticPr fontId="1" type="noConversion"/>
  </si>
  <si>
    <t>prevalent</t>
    <phoneticPr fontId="1" type="noConversion"/>
  </si>
  <si>
    <t>lucrative</t>
    <phoneticPr fontId="1" type="noConversion"/>
  </si>
  <si>
    <t>tentative</t>
    <phoneticPr fontId="1" type="noConversion"/>
  </si>
  <si>
    <t>affluent</t>
    <phoneticPr fontId="1" type="noConversion"/>
  </si>
  <si>
    <t>stick to</t>
    <phoneticPr fontId="1" type="noConversion"/>
  </si>
  <si>
    <t>look over</t>
    <phoneticPr fontId="1" type="noConversion"/>
  </si>
  <si>
    <t>take after</t>
    <phoneticPr fontId="1" type="noConversion"/>
  </si>
  <si>
    <t>monotonous</t>
    <phoneticPr fontId="1" type="noConversion"/>
  </si>
  <si>
    <t>synonymous</t>
    <phoneticPr fontId="1" type="noConversion"/>
  </si>
  <si>
    <t>contemptuous</t>
    <phoneticPr fontId="1" type="noConversion"/>
  </si>
  <si>
    <t>enclose</t>
    <phoneticPr fontId="1" type="noConversion"/>
  </si>
  <si>
    <t>condense</t>
    <phoneticPr fontId="1" type="noConversion"/>
  </si>
  <si>
    <t>defunct</t>
    <phoneticPr fontId="1" type="noConversion"/>
  </si>
  <si>
    <t>feckless</t>
    <phoneticPr fontId="1" type="noConversion"/>
  </si>
  <si>
    <t>thwart</t>
    <phoneticPr fontId="1" type="noConversion"/>
  </si>
  <si>
    <t>임의적인, 독단적인</t>
    <phoneticPr fontId="1" type="noConversion"/>
  </si>
  <si>
    <t>심오한</t>
    <phoneticPr fontId="1" type="noConversion"/>
  </si>
  <si>
    <t>고유한</t>
    <phoneticPr fontId="1" type="noConversion"/>
  </si>
  <si>
    <t>지루한</t>
    <phoneticPr fontId="1" type="noConversion"/>
  </si>
  <si>
    <t>육성하다</t>
    <phoneticPr fontId="1" type="noConversion"/>
  </si>
  <si>
    <t>회의적인, 의심하는</t>
    <phoneticPr fontId="1" type="noConversion"/>
  </si>
  <si>
    <t>악화되다</t>
    <phoneticPr fontId="1" type="noConversion"/>
  </si>
  <si>
    <t>필수불가결한</t>
    <phoneticPr fontId="1" type="noConversion"/>
  </si>
  <si>
    <t>지속적인, 끈질긴</t>
    <phoneticPr fontId="1" type="noConversion"/>
  </si>
  <si>
    <t>완화하다</t>
    <phoneticPr fontId="1" type="noConversion"/>
  </si>
  <si>
    <t>눈에 띄는, 두드러진</t>
    <phoneticPr fontId="1" type="noConversion"/>
  </si>
  <si>
    <t>직면하다</t>
    <phoneticPr fontId="1" type="noConversion"/>
  </si>
  <si>
    <t>묘사하다</t>
    <phoneticPr fontId="1" type="noConversion"/>
  </si>
  <si>
    <t>해고하다</t>
    <phoneticPr fontId="1" type="noConversion"/>
  </si>
  <si>
    <t>변동하다</t>
    <phoneticPr fontId="1" type="noConversion"/>
  </si>
  <si>
    <t>동기</t>
    <phoneticPr fontId="1" type="noConversion"/>
  </si>
  <si>
    <t>합법적인, 정당한</t>
    <phoneticPr fontId="1" type="noConversion"/>
  </si>
  <si>
    <t>앞서다, 선행하다</t>
    <phoneticPr fontId="1" type="noConversion"/>
  </si>
  <si>
    <t>반박하다</t>
    <phoneticPr fontId="1" type="noConversion"/>
  </si>
  <si>
    <t>동시의</t>
    <phoneticPr fontId="1" type="noConversion"/>
  </si>
  <si>
    <t>만장일치의</t>
    <phoneticPr fontId="1" type="noConversion"/>
  </si>
  <si>
    <t>활용하다</t>
    <phoneticPr fontId="1" type="noConversion"/>
  </si>
  <si>
    <t>가속하다</t>
    <phoneticPr fontId="1" type="noConversion"/>
  </si>
  <si>
    <t>자비로운</t>
    <phoneticPr fontId="1" type="noConversion"/>
  </si>
  <si>
    <t>조심스러운</t>
    <phoneticPr fontId="1" type="noConversion"/>
  </si>
  <si>
    <t>해독하다</t>
    <phoneticPr fontId="1" type="noConversion"/>
  </si>
  <si>
    <t>연약한, 깨지기 쉬운</t>
    <phoneticPr fontId="1" type="noConversion"/>
  </si>
  <si>
    <t>일회용의</t>
    <phoneticPr fontId="1" type="noConversion"/>
  </si>
  <si>
    <t>핑계를 대다</t>
    <phoneticPr fontId="1" type="noConversion"/>
  </si>
  <si>
    <t>흉내내다</t>
    <phoneticPr fontId="1" type="noConversion"/>
  </si>
  <si>
    <t>정지시키다</t>
    <phoneticPr fontId="1" type="noConversion"/>
  </si>
  <si>
    <t>널리퍼진</t>
    <phoneticPr fontId="1" type="noConversion"/>
  </si>
  <si>
    <t>수익성이 좋은</t>
    <phoneticPr fontId="1" type="noConversion"/>
  </si>
  <si>
    <t>불확실한, 잠정적인</t>
    <phoneticPr fontId="1" type="noConversion"/>
  </si>
  <si>
    <t>부유한</t>
    <phoneticPr fontId="1" type="noConversion"/>
  </si>
  <si>
    <t>~을 고수하다</t>
    <phoneticPr fontId="1" type="noConversion"/>
  </si>
  <si>
    <t>~을 훑어보다</t>
    <phoneticPr fontId="1" type="noConversion"/>
  </si>
  <si>
    <t>~을 닮다</t>
    <phoneticPr fontId="1" type="noConversion"/>
  </si>
  <si>
    <t>단조로운</t>
    <phoneticPr fontId="1" type="noConversion"/>
  </si>
  <si>
    <t>동의어의</t>
    <phoneticPr fontId="1" type="noConversion"/>
  </si>
  <si>
    <t>멸시의</t>
    <phoneticPr fontId="1" type="noConversion"/>
  </si>
  <si>
    <t>에워싸다, 동봉하다</t>
    <phoneticPr fontId="1" type="noConversion"/>
  </si>
  <si>
    <t>immerse in</t>
    <phoneticPr fontId="1" type="noConversion"/>
  </si>
  <si>
    <t>몰두하게 만들다</t>
    <phoneticPr fontId="1" type="noConversion"/>
  </si>
  <si>
    <t>요약하다</t>
    <phoneticPr fontId="1" type="noConversion"/>
  </si>
  <si>
    <t>소멸한</t>
    <phoneticPr fontId="1" type="noConversion"/>
  </si>
  <si>
    <t>무기력한</t>
    <phoneticPr fontId="1" type="noConversion"/>
  </si>
  <si>
    <t>좌절된</t>
    <phoneticPr fontId="1" type="noConversion"/>
  </si>
  <si>
    <t>motify</t>
    <phoneticPr fontId="1" type="noConversion"/>
  </si>
  <si>
    <t>jostle</t>
    <phoneticPr fontId="1" type="noConversion"/>
  </si>
  <si>
    <t>nestle</t>
    <phoneticPr fontId="1" type="noConversion"/>
  </si>
  <si>
    <t>smear</t>
    <phoneticPr fontId="1" type="noConversion"/>
  </si>
  <si>
    <t>muster</t>
    <phoneticPr fontId="1" type="noConversion"/>
  </si>
  <si>
    <t>display</t>
    <phoneticPr fontId="1" type="noConversion"/>
  </si>
  <si>
    <t>expose</t>
    <phoneticPr fontId="1" type="noConversion"/>
  </si>
  <si>
    <t>issue</t>
    <phoneticPr fontId="1" type="noConversion"/>
  </si>
  <si>
    <t>compose</t>
    <phoneticPr fontId="1" type="noConversion"/>
  </si>
  <si>
    <t>adjust</t>
    <phoneticPr fontId="1" type="noConversion"/>
  </si>
  <si>
    <t>적응하다, 수정하다</t>
    <phoneticPr fontId="1" type="noConversion"/>
  </si>
  <si>
    <t>modify</t>
    <phoneticPr fontId="1" type="noConversion"/>
  </si>
  <si>
    <t>transmit</t>
    <phoneticPr fontId="1" type="noConversion"/>
  </si>
  <si>
    <t>leap</t>
    <phoneticPr fontId="1" type="noConversion"/>
  </si>
  <si>
    <t>strike</t>
    <phoneticPr fontId="1" type="noConversion"/>
  </si>
  <si>
    <t>instill</t>
    <phoneticPr fontId="1" type="noConversion"/>
  </si>
  <si>
    <t>jeopardize</t>
    <phoneticPr fontId="1" type="noConversion"/>
  </si>
  <si>
    <t>overthrow</t>
    <phoneticPr fontId="1" type="noConversion"/>
  </si>
  <si>
    <t>protest</t>
    <phoneticPr fontId="1" type="noConversion"/>
  </si>
  <si>
    <t>corrupt</t>
    <phoneticPr fontId="1" type="noConversion"/>
  </si>
  <si>
    <t>dictatorship</t>
    <phoneticPr fontId="1" type="noConversion"/>
  </si>
  <si>
    <t>bulky</t>
    <phoneticPr fontId="1" type="noConversion"/>
  </si>
  <si>
    <t>nimble</t>
    <phoneticPr fontId="1" type="noConversion"/>
  </si>
  <si>
    <t>brawn</t>
    <phoneticPr fontId="1" type="noConversion"/>
  </si>
  <si>
    <t>obstruct</t>
    <phoneticPr fontId="1" type="noConversion"/>
  </si>
  <si>
    <t>unimpeded</t>
    <phoneticPr fontId="1" type="noConversion"/>
  </si>
  <si>
    <t>exasperate</t>
    <phoneticPr fontId="1" type="noConversion"/>
  </si>
  <si>
    <t>antagonize</t>
    <phoneticPr fontId="1" type="noConversion"/>
  </si>
  <si>
    <t>treaty</t>
    <phoneticPr fontId="1" type="noConversion"/>
  </si>
  <si>
    <t>charter</t>
    <phoneticPr fontId="1" type="noConversion"/>
  </si>
  <si>
    <t>suspicion</t>
    <phoneticPr fontId="1" type="noConversion"/>
  </si>
  <si>
    <t>smuggle</t>
    <phoneticPr fontId="1" type="noConversion"/>
  </si>
  <si>
    <t>detain</t>
    <phoneticPr fontId="1" type="noConversion"/>
  </si>
  <si>
    <t>impair</t>
    <phoneticPr fontId="1" type="noConversion"/>
  </si>
  <si>
    <t>extract</t>
    <phoneticPr fontId="1" type="noConversion"/>
  </si>
  <si>
    <t>disrupt</t>
    <phoneticPr fontId="1" type="noConversion"/>
  </si>
  <si>
    <t>divulge</t>
    <phoneticPr fontId="1" type="noConversion"/>
  </si>
  <si>
    <t>inhibit</t>
    <phoneticPr fontId="1" type="noConversion"/>
  </si>
  <si>
    <t>awe</t>
    <phoneticPr fontId="1" type="noConversion"/>
  </si>
  <si>
    <t>poke</t>
    <phoneticPr fontId="1" type="noConversion"/>
  </si>
  <si>
    <t>vow</t>
    <phoneticPr fontId="1" type="noConversion"/>
  </si>
  <si>
    <t>onlooker</t>
    <phoneticPr fontId="1" type="noConversion"/>
  </si>
  <si>
    <t>antibiotic</t>
    <phoneticPr fontId="1" type="noConversion"/>
  </si>
  <si>
    <t>invalidate</t>
    <phoneticPr fontId="1" type="noConversion"/>
  </si>
  <si>
    <t>vanquish</t>
    <phoneticPr fontId="1" type="noConversion"/>
  </si>
  <si>
    <t>squander</t>
    <phoneticPr fontId="1" type="noConversion"/>
  </si>
  <si>
    <t>filial</t>
    <phoneticPr fontId="1" type="noConversion"/>
  </si>
  <si>
    <t>pious</t>
    <phoneticPr fontId="1" type="noConversion"/>
  </si>
  <si>
    <t>benign</t>
    <phoneticPr fontId="1" type="noConversion"/>
  </si>
  <si>
    <t>clerical</t>
    <phoneticPr fontId="1" type="noConversion"/>
  </si>
  <si>
    <t>tarnish</t>
    <phoneticPr fontId="1" type="noConversion"/>
  </si>
  <si>
    <t>ransack</t>
    <phoneticPr fontId="1" type="noConversion"/>
  </si>
  <si>
    <t>inundate</t>
    <phoneticPr fontId="1" type="noConversion"/>
  </si>
  <si>
    <t>discharge</t>
    <phoneticPr fontId="1" type="noConversion"/>
  </si>
  <si>
    <t>stipulation</t>
    <phoneticPr fontId="1" type="noConversion"/>
  </si>
  <si>
    <t>antecedent</t>
    <phoneticPr fontId="1" type="noConversion"/>
  </si>
  <si>
    <t>repercussion</t>
    <phoneticPr fontId="1" type="noConversion"/>
  </si>
  <si>
    <t>circumstance</t>
    <phoneticPr fontId="1" type="noConversion"/>
  </si>
  <si>
    <t>garner</t>
    <phoneticPr fontId="1" type="noConversion"/>
  </si>
  <si>
    <t>beckon</t>
    <phoneticPr fontId="1" type="noConversion"/>
  </si>
  <si>
    <t>contract</t>
    <phoneticPr fontId="1" type="noConversion"/>
  </si>
  <si>
    <t>sanction</t>
    <phoneticPr fontId="1" type="noConversion"/>
  </si>
  <si>
    <t>bolster</t>
    <phoneticPr fontId="1" type="noConversion"/>
  </si>
  <si>
    <t>perturb</t>
    <phoneticPr fontId="1" type="noConversion"/>
  </si>
  <si>
    <t>혼란시키다, 동요시키다</t>
    <phoneticPr fontId="1" type="noConversion"/>
  </si>
  <si>
    <t>upbraid</t>
    <phoneticPr fontId="1" type="noConversion"/>
  </si>
  <si>
    <t>illness</t>
    <phoneticPr fontId="1" type="noConversion"/>
  </si>
  <si>
    <t>relief</t>
    <phoneticPr fontId="1" type="noConversion"/>
  </si>
  <si>
    <t>letdown</t>
    <phoneticPr fontId="1" type="noConversion"/>
  </si>
  <si>
    <t>imperative</t>
    <phoneticPr fontId="1" type="noConversion"/>
  </si>
  <si>
    <t>settle</t>
    <phoneticPr fontId="1" type="noConversion"/>
  </si>
  <si>
    <t>so far</t>
    <phoneticPr fontId="1" type="noConversion"/>
  </si>
  <si>
    <t>customarily</t>
    <phoneticPr fontId="1" type="noConversion"/>
  </si>
  <si>
    <t>anticipate</t>
    <phoneticPr fontId="1" type="noConversion"/>
  </si>
  <si>
    <t>ease</t>
    <phoneticPr fontId="1" type="noConversion"/>
  </si>
  <si>
    <t>applause</t>
    <phoneticPr fontId="1" type="noConversion"/>
  </si>
  <si>
    <t>굴욕, 당황스러운</t>
    <phoneticPr fontId="1" type="noConversion"/>
  </si>
  <si>
    <t>밀다, 다투다</t>
    <phoneticPr fontId="1" type="noConversion"/>
  </si>
  <si>
    <t>자리잡다</t>
    <phoneticPr fontId="1" type="noConversion"/>
  </si>
  <si>
    <t>더럽히다</t>
    <phoneticPr fontId="1" type="noConversion"/>
  </si>
  <si>
    <t>소집하다</t>
    <phoneticPr fontId="1" type="noConversion"/>
  </si>
  <si>
    <t>전시하다</t>
    <phoneticPr fontId="1" type="noConversion"/>
  </si>
  <si>
    <t>노출하다</t>
    <phoneticPr fontId="1" type="noConversion"/>
  </si>
  <si>
    <t>발행하다</t>
    <phoneticPr fontId="1" type="noConversion"/>
  </si>
  <si>
    <t>구성하다</t>
    <phoneticPr fontId="1" type="noConversion"/>
  </si>
  <si>
    <t>전송하다</t>
    <phoneticPr fontId="1" type="noConversion"/>
  </si>
  <si>
    <t>도약</t>
    <phoneticPr fontId="1" type="noConversion"/>
  </si>
  <si>
    <t>부딪히다</t>
    <phoneticPr fontId="1" type="noConversion"/>
  </si>
  <si>
    <t>주입하다</t>
    <phoneticPr fontId="1" type="noConversion"/>
  </si>
  <si>
    <t>위태롭게 하다</t>
    <phoneticPr fontId="1" type="noConversion"/>
  </si>
  <si>
    <t>전복시키다, 타도하다</t>
    <phoneticPr fontId="1" type="noConversion"/>
  </si>
  <si>
    <t>시위</t>
    <phoneticPr fontId="1" type="noConversion"/>
  </si>
  <si>
    <t>부패한</t>
    <phoneticPr fontId="1" type="noConversion"/>
  </si>
  <si>
    <t>독재정권</t>
    <phoneticPr fontId="1" type="noConversion"/>
  </si>
  <si>
    <t>부피가 큰</t>
    <phoneticPr fontId="1" type="noConversion"/>
  </si>
  <si>
    <t>민첩한</t>
    <phoneticPr fontId="1" type="noConversion"/>
  </si>
  <si>
    <t>완력, 근력</t>
    <phoneticPr fontId="1" type="noConversion"/>
  </si>
  <si>
    <t>방해하다</t>
    <phoneticPr fontId="1" type="noConversion"/>
  </si>
  <si>
    <t>방해받지 않은</t>
    <phoneticPr fontId="1" type="noConversion"/>
  </si>
  <si>
    <t>악화시키다, 분노한</t>
    <phoneticPr fontId="1" type="noConversion"/>
  </si>
  <si>
    <t>대항, 적대하다</t>
    <phoneticPr fontId="1" type="noConversion"/>
  </si>
  <si>
    <t>조약, 협정</t>
    <phoneticPr fontId="1" type="noConversion"/>
  </si>
  <si>
    <t>헌장, 승인하다</t>
    <phoneticPr fontId="1" type="noConversion"/>
  </si>
  <si>
    <t>혐의</t>
    <phoneticPr fontId="1" type="noConversion"/>
  </si>
  <si>
    <t>밀반입하다</t>
    <phoneticPr fontId="1" type="noConversion"/>
  </si>
  <si>
    <t>구속하다</t>
    <phoneticPr fontId="1" type="noConversion"/>
  </si>
  <si>
    <t>손상시키다</t>
    <phoneticPr fontId="1" type="noConversion"/>
  </si>
  <si>
    <t>추출하다</t>
    <phoneticPr fontId="1" type="noConversion"/>
  </si>
  <si>
    <t>지장을 주다</t>
    <phoneticPr fontId="1" type="noConversion"/>
  </si>
  <si>
    <t>누설하다, 폭로하다</t>
    <phoneticPr fontId="1" type="noConversion"/>
  </si>
  <si>
    <t>억제하다</t>
    <phoneticPr fontId="1" type="noConversion"/>
  </si>
  <si>
    <t>두려움, 경외심</t>
    <phoneticPr fontId="1" type="noConversion"/>
  </si>
  <si>
    <t>찌르다</t>
    <phoneticPr fontId="1" type="noConversion"/>
  </si>
  <si>
    <t>맹세하다</t>
    <phoneticPr fontId="1" type="noConversion"/>
  </si>
  <si>
    <t>구경꾼</t>
    <phoneticPr fontId="1" type="noConversion"/>
  </si>
  <si>
    <t>항생제</t>
    <phoneticPr fontId="1" type="noConversion"/>
  </si>
  <si>
    <t>무효화하다</t>
    <phoneticPr fontId="1" type="noConversion"/>
  </si>
  <si>
    <t>패배하다</t>
    <phoneticPr fontId="1" type="noConversion"/>
  </si>
  <si>
    <t>낭비하다</t>
    <phoneticPr fontId="1" type="noConversion"/>
  </si>
  <si>
    <t>자식의</t>
    <phoneticPr fontId="1" type="noConversion"/>
  </si>
  <si>
    <t>독실한</t>
    <phoneticPr fontId="1" type="noConversion"/>
  </si>
  <si>
    <t>온화한</t>
    <phoneticPr fontId="1" type="noConversion"/>
  </si>
  <si>
    <t>성직자의</t>
    <phoneticPr fontId="1" type="noConversion"/>
  </si>
  <si>
    <t>뒤엎다</t>
    <phoneticPr fontId="1" type="noConversion"/>
  </si>
  <si>
    <t>침수시키다</t>
    <phoneticPr fontId="1" type="noConversion"/>
  </si>
  <si>
    <t>방출하다</t>
    <phoneticPr fontId="1" type="noConversion"/>
  </si>
  <si>
    <t>규정</t>
    <phoneticPr fontId="1" type="noConversion"/>
  </si>
  <si>
    <t>선례</t>
    <phoneticPr fontId="1" type="noConversion"/>
  </si>
  <si>
    <t>영향</t>
    <phoneticPr fontId="1" type="noConversion"/>
  </si>
  <si>
    <t>상황</t>
    <phoneticPr fontId="1" type="noConversion"/>
  </si>
  <si>
    <t>~을 모으다</t>
    <phoneticPr fontId="1" type="noConversion"/>
  </si>
  <si>
    <t>부르다, 신호하다</t>
    <phoneticPr fontId="1" type="noConversion"/>
  </si>
  <si>
    <t>계약, 걸리다</t>
    <phoneticPr fontId="1" type="noConversion"/>
  </si>
  <si>
    <t>제재, 처벌</t>
    <phoneticPr fontId="1" type="noConversion"/>
  </si>
  <si>
    <t>강화하다</t>
    <phoneticPr fontId="1" type="noConversion"/>
  </si>
  <si>
    <t>질책하다</t>
    <phoneticPr fontId="1" type="noConversion"/>
  </si>
  <si>
    <t>질병</t>
    <phoneticPr fontId="1" type="noConversion"/>
  </si>
  <si>
    <t>완화</t>
    <phoneticPr fontId="1" type="noConversion"/>
  </si>
  <si>
    <t>실망</t>
    <phoneticPr fontId="1" type="noConversion"/>
  </si>
  <si>
    <t>반드시 ~해야하는, 필수의</t>
    <phoneticPr fontId="1" type="noConversion"/>
  </si>
  <si>
    <t>해결하다</t>
    <phoneticPr fontId="1" type="noConversion"/>
  </si>
  <si>
    <t>현재까지, 지금까지</t>
    <phoneticPr fontId="1" type="noConversion"/>
  </si>
  <si>
    <t>습관적으로</t>
    <phoneticPr fontId="1" type="noConversion"/>
  </si>
  <si>
    <t>예상하다</t>
    <phoneticPr fontId="1" type="noConversion"/>
  </si>
  <si>
    <t>쉬움, 완화하다</t>
    <phoneticPr fontId="1" type="noConversion"/>
  </si>
  <si>
    <t>박수, 칭찬</t>
    <phoneticPr fontId="1" type="noConversion"/>
  </si>
  <si>
    <r>
      <t xml:space="preserve">Math is a </t>
    </r>
    <r>
      <rPr>
        <b/>
        <sz val="11"/>
        <color theme="1"/>
        <rFont val="맑은 고딕"/>
        <family val="3"/>
        <charset val="129"/>
        <scheme val="minor"/>
      </rPr>
      <t>fundamental</t>
    </r>
    <r>
      <rPr>
        <sz val="11"/>
        <color theme="1"/>
        <rFont val="맑은 고딕"/>
        <family val="3"/>
        <charset val="129"/>
        <scheme val="minor"/>
      </rPr>
      <t xml:space="preserve"> skill for all students.</t>
    </r>
    <phoneticPr fontId="1" type="noConversion"/>
  </si>
  <si>
    <r>
      <t xml:space="preserve">Mistakes are </t>
    </r>
    <r>
      <rPr>
        <b/>
        <sz val="11"/>
        <color theme="1"/>
        <rFont val="맑은 고딕"/>
        <family val="3"/>
        <charset val="129"/>
        <scheme val="minor"/>
      </rPr>
      <t>inevitable</t>
    </r>
    <r>
      <rPr>
        <sz val="11"/>
        <color theme="1"/>
        <rFont val="맑은 고딕"/>
        <family val="3"/>
        <charset val="129"/>
        <scheme val="minor"/>
      </rPr>
      <t xml:space="preserve"> when you try something new.</t>
    </r>
    <phoneticPr fontId="1" type="noConversion"/>
  </si>
  <si>
    <r>
      <t xml:space="preserve">She prefers </t>
    </r>
    <r>
      <rPr>
        <b/>
        <sz val="11"/>
        <color theme="1"/>
        <rFont val="맑은 고딕"/>
        <family val="3"/>
        <charset val="129"/>
        <scheme val="minor"/>
      </rPr>
      <t>moderate</t>
    </r>
    <r>
      <rPr>
        <sz val="11"/>
        <color theme="1"/>
        <rFont val="맑은 고딕"/>
        <family val="3"/>
        <charset val="129"/>
        <scheme val="minor"/>
      </rPr>
      <t xml:space="preserve"> exercise like walking and yoga.</t>
    </r>
    <phoneticPr fontId="1" type="noConversion"/>
  </si>
  <si>
    <r>
      <t xml:space="preserve">A large </t>
    </r>
    <r>
      <rPr>
        <b/>
        <sz val="11"/>
        <color theme="1"/>
        <rFont val="맑은 고딕"/>
        <family val="3"/>
        <charset val="129"/>
        <scheme val="minor"/>
      </rPr>
      <t>proportion</t>
    </r>
    <r>
      <rPr>
        <sz val="11"/>
        <color theme="1"/>
        <rFont val="맑은 고딕"/>
        <family val="3"/>
        <charset val="129"/>
        <scheme val="minor"/>
      </rPr>
      <t xml:space="preserve"> of the budget goes to salaries.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</si>
  <si>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subsequent</t>
    </r>
    <r>
      <rPr>
        <sz val="11"/>
        <color theme="1"/>
        <rFont val="맑은 고딕"/>
        <family val="3"/>
        <charset val="129"/>
        <scheme val="minor"/>
      </rPr>
      <t xml:space="preserve"> chapters explain the theory in detail.</t>
    </r>
    <phoneticPr fontId="1" type="noConversion"/>
  </si>
  <si>
    <r>
      <t xml:space="preserve">Your passport must be </t>
    </r>
    <r>
      <rPr>
        <b/>
        <sz val="11"/>
        <color theme="1"/>
        <rFont val="맑은 고딕"/>
        <family val="3"/>
        <charset val="129"/>
        <scheme val="minor"/>
      </rPr>
      <t>valid</t>
    </r>
    <r>
      <rPr>
        <sz val="11"/>
        <color theme="1"/>
        <rFont val="맑은 고딕"/>
        <family val="3"/>
        <charset val="129"/>
        <scheme val="minor"/>
      </rPr>
      <t xml:space="preserve"> for at least six months.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</si>
  <si>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Contemporary</t>
    </r>
    <r>
      <rPr>
        <sz val="11"/>
        <color theme="1"/>
        <rFont val="맑은 고딕"/>
        <family val="3"/>
        <charset val="129"/>
        <scheme val="minor"/>
      </rPr>
      <t xml:space="preserve"> art can be difficult to understand.</t>
    </r>
    <phoneticPr fontId="1" type="noConversion"/>
  </si>
  <si>
    <r>
      <t xml:space="preserve">The company will </t>
    </r>
    <r>
      <rPr>
        <b/>
        <sz val="11"/>
        <color theme="1"/>
        <rFont val="맑은 고딕"/>
        <family val="3"/>
        <charset val="129"/>
        <scheme val="minor"/>
      </rPr>
      <t>distribute</t>
    </r>
    <r>
      <rPr>
        <sz val="11"/>
        <color theme="1"/>
        <rFont val="맑은 고딕"/>
        <family val="3"/>
        <charset val="129"/>
        <scheme val="minor"/>
      </rPr>
      <t xml:space="preserve"> free samples at the event.</t>
    </r>
    <phoneticPr fontId="1" type="noConversion"/>
  </si>
  <si>
    <r>
      <t xml:space="preserve">The manager gave </t>
    </r>
    <r>
      <rPr>
        <b/>
        <sz val="11"/>
        <color theme="1"/>
        <rFont val="맑은 고딕"/>
        <family val="3"/>
        <charset val="129"/>
        <scheme val="minor"/>
      </rPr>
      <t>explicit</t>
    </r>
    <r>
      <rPr>
        <sz val="11"/>
        <color theme="1"/>
        <rFont val="맑은 고딕"/>
        <family val="3"/>
        <charset val="129"/>
        <scheme val="minor"/>
      </rPr>
      <t xml:space="preserve"> instructions to the team.</t>
    </r>
    <phoneticPr fontId="1" type="noConversion"/>
  </si>
  <si>
    <r>
      <t xml:space="preserve">Solar panels </t>
    </r>
    <r>
      <rPr>
        <b/>
        <sz val="11"/>
        <color theme="1"/>
        <rFont val="맑은 고딕"/>
        <family val="3"/>
        <charset val="129"/>
        <scheme val="minor"/>
      </rPr>
      <t>generate</t>
    </r>
    <r>
      <rPr>
        <sz val="11"/>
        <color theme="1"/>
        <rFont val="맑은 고딕"/>
        <family val="3"/>
        <charset val="129"/>
        <scheme val="minor"/>
      </rPr>
      <t xml:space="preserve"> electricity from sunlight.</t>
    </r>
    <phoneticPr fontId="1" type="noConversion"/>
  </si>
  <si>
    <r>
      <t xml:space="preserve">A leader must act with </t>
    </r>
    <r>
      <rPr>
        <b/>
        <sz val="11"/>
        <color theme="1"/>
        <rFont val="맑은 고딕"/>
        <family val="3"/>
        <charset val="129"/>
        <scheme val="minor"/>
      </rPr>
      <t>integrity</t>
    </r>
    <r>
      <rPr>
        <sz val="11"/>
        <color theme="1"/>
        <rFont val="맑은 고딕"/>
        <family val="3"/>
        <charset val="129"/>
        <scheme val="minor"/>
      </rPr>
      <t xml:space="preserve"> at all times.</t>
    </r>
    <phoneticPr fontId="1" type="noConversion"/>
  </si>
  <si>
    <r>
      <t xml:space="preserve">There has been a </t>
    </r>
    <r>
      <rPr>
        <b/>
        <sz val="11"/>
        <color theme="1"/>
        <rFont val="맑은 고딕"/>
        <family val="3"/>
        <charset val="129"/>
        <scheme val="minor"/>
      </rPr>
      <t>notable</t>
    </r>
    <r>
      <rPr>
        <sz val="11"/>
        <color theme="1"/>
        <rFont val="맑은 고딕"/>
        <family val="3"/>
        <charset val="129"/>
        <scheme val="minor"/>
      </rPr>
      <t xml:space="preserve"> improvement in her grades.</t>
    </r>
    <phoneticPr fontId="1" type="noConversion"/>
  </si>
  <si>
    <r>
      <t xml:space="preserve">He decided to </t>
    </r>
    <r>
      <rPr>
        <b/>
        <sz val="11"/>
        <color theme="1"/>
        <rFont val="맑은 고딕"/>
        <family val="3"/>
        <charset val="129"/>
        <scheme val="minor"/>
      </rPr>
      <t>pursue</t>
    </r>
    <r>
      <rPr>
        <sz val="11"/>
        <color theme="1"/>
        <rFont val="맑은 고딕"/>
        <family val="3"/>
        <charset val="129"/>
        <scheme val="minor"/>
      </rPr>
      <t xml:space="preserve"> a career in medicine.</t>
    </r>
    <phoneticPr fontId="1" type="noConversion"/>
  </si>
  <si>
    <r>
      <t xml:space="preserve">She studied hard, </t>
    </r>
    <r>
      <rPr>
        <b/>
        <sz val="11"/>
        <color theme="1"/>
        <rFont val="맑은 고딕"/>
        <family val="3"/>
        <charset val="129"/>
        <scheme val="minor"/>
      </rPr>
      <t>thereby</t>
    </r>
    <r>
      <rPr>
        <sz val="11"/>
        <color theme="1"/>
        <rFont val="맑은 고딕"/>
        <family val="3"/>
        <charset val="129"/>
        <scheme val="minor"/>
      </rPr>
      <t xml:space="preserve"> earning a scholarship.</t>
    </r>
    <phoneticPr fontId="1" type="noConversion"/>
  </si>
  <si>
    <r>
      <t xml:space="preserve">Please </t>
    </r>
    <r>
      <rPr>
        <b/>
        <sz val="11"/>
        <color theme="1"/>
        <rFont val="맑은 고딕"/>
        <family val="3"/>
        <charset val="129"/>
        <scheme val="minor"/>
      </rPr>
      <t>verify</t>
    </r>
    <r>
      <rPr>
        <sz val="11"/>
        <color theme="1"/>
        <rFont val="맑은 고딕"/>
        <family val="3"/>
        <charset val="129"/>
        <scheme val="minor"/>
      </rPr>
      <t xml:space="preserve"> your email address before logging in.</t>
    </r>
    <phoneticPr fontId="1" type="noConversion"/>
  </si>
  <si>
    <r>
      <t xml:space="preserve">He </t>
    </r>
    <r>
      <rPr>
        <b/>
        <sz val="11"/>
        <color theme="1"/>
        <rFont val="맑은 고딕"/>
        <family val="3"/>
        <charset val="129"/>
        <scheme val="minor"/>
      </rPr>
      <t>advocates</t>
    </r>
    <r>
      <rPr>
        <sz val="11"/>
        <color theme="1"/>
        <rFont val="맑은 고딕"/>
        <family val="3"/>
        <charset val="129"/>
        <scheme val="minor"/>
      </rPr>
      <t xml:space="preserve"> for equal rights in education.</t>
    </r>
    <phoneticPr fontId="1" type="noConversion"/>
  </si>
  <si>
    <r>
      <t xml:space="preserve">The report provides a </t>
    </r>
    <r>
      <rPr>
        <b/>
        <sz val="11"/>
        <color theme="1"/>
        <rFont val="맑은 고딕"/>
        <family val="3"/>
        <charset val="129"/>
        <scheme val="minor"/>
      </rPr>
      <t>comprehensive</t>
    </r>
    <r>
      <rPr>
        <sz val="11"/>
        <color theme="1"/>
        <rFont val="맑은 고딕"/>
        <family val="3"/>
        <charset val="129"/>
        <scheme val="minor"/>
      </rPr>
      <t xml:space="preserve"> analysis of the market.</t>
    </r>
    <phoneticPr fontId="1" type="noConversion"/>
  </si>
  <si>
    <r>
      <t xml:space="preserve">Sales began to </t>
    </r>
    <r>
      <rPr>
        <b/>
        <sz val="11"/>
        <color theme="1"/>
        <rFont val="맑은 고딕"/>
        <family val="3"/>
        <charset val="129"/>
        <scheme val="minor"/>
      </rPr>
      <t>decline</t>
    </r>
    <r>
      <rPr>
        <sz val="11"/>
        <color theme="1"/>
        <rFont val="맑은 고딕"/>
        <family val="3"/>
        <charset val="129"/>
        <scheme val="minor"/>
      </rPr>
      <t xml:space="preserve"> after the holiday season.</t>
    </r>
    <phoneticPr fontId="1" type="noConversion"/>
  </si>
  <si>
    <r>
      <t xml:space="preserve">The teacher </t>
    </r>
    <r>
      <rPr>
        <b/>
        <sz val="11"/>
        <color theme="1"/>
        <rFont val="맑은 고딕"/>
        <family val="3"/>
        <charset val="129"/>
        <scheme val="minor"/>
      </rPr>
      <t>emphasized</t>
    </r>
    <r>
      <rPr>
        <sz val="11"/>
        <color theme="1"/>
        <rFont val="맑은 고딕"/>
        <family val="3"/>
        <charset val="129"/>
        <scheme val="minor"/>
      </rPr>
      <t xml:space="preserve"> the importance of reading daily.</t>
    </r>
    <phoneticPr fontId="1" type="noConversion"/>
  </si>
  <si>
    <r>
      <t xml:space="preserve">We </t>
    </r>
    <r>
      <rPr>
        <b/>
        <sz val="11"/>
        <color theme="1"/>
        <rFont val="맑은 고딕"/>
        <family val="3"/>
        <charset val="129"/>
        <scheme val="minor"/>
      </rPr>
      <t>guarantee</t>
    </r>
    <r>
      <rPr>
        <sz val="11"/>
        <color theme="1"/>
        <rFont val="맑은 고딕"/>
        <family val="3"/>
        <charset val="129"/>
        <scheme val="minor"/>
      </rPr>
      <t xml:space="preserve"> delivery within three business days.</t>
    </r>
    <phoneticPr fontId="1" type="noConversion"/>
  </si>
  <si>
    <r>
      <t xml:space="preserve">It is difficult to </t>
    </r>
    <r>
      <rPr>
        <b/>
        <sz val="11"/>
        <color theme="1"/>
        <rFont val="맑은 고딕"/>
        <family val="3"/>
        <charset val="129"/>
        <scheme val="minor"/>
      </rPr>
      <t>interpret</t>
    </r>
    <r>
      <rPr>
        <sz val="11"/>
        <color theme="1"/>
        <rFont val="맑은 고딕"/>
        <family val="3"/>
        <charset val="129"/>
        <scheme val="minor"/>
      </rPr>
      <t xml:space="preserve"> his facial expressions.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</si>
  <si>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notion</t>
    </r>
    <r>
      <rPr>
        <sz val="11"/>
        <color theme="1"/>
        <rFont val="맑은 고딕"/>
        <family val="3"/>
        <charset val="129"/>
        <scheme val="minor"/>
      </rPr>
      <t xml:space="preserve"> that money buys happiness is misleading.</t>
    </r>
    <phoneticPr fontId="1" type="noConversion"/>
  </si>
  <si>
    <r>
      <t xml:space="preserve">This is just a </t>
    </r>
    <r>
      <rPr>
        <b/>
        <sz val="11"/>
        <color theme="1"/>
        <rFont val="맑은 고딕"/>
        <family val="3"/>
        <charset val="129"/>
        <scheme val="minor"/>
      </rPr>
      <t>preliminary</t>
    </r>
    <r>
      <rPr>
        <sz val="11"/>
        <color theme="1"/>
        <rFont val="맑은 고딕"/>
        <family val="3"/>
        <charset val="129"/>
        <scheme val="minor"/>
      </rPr>
      <t xml:space="preserve"> draft, not the final version.</t>
    </r>
    <phoneticPr fontId="1" type="noConversion"/>
  </si>
  <si>
    <r>
      <t xml:space="preserve">The government tried to </t>
    </r>
    <r>
      <rPr>
        <b/>
        <sz val="11"/>
        <color theme="1"/>
        <rFont val="맑은 고딕"/>
        <family val="3"/>
        <charset val="129"/>
        <scheme val="minor"/>
      </rPr>
      <t>suppress</t>
    </r>
    <r>
      <rPr>
        <sz val="11"/>
        <color theme="1"/>
        <rFont val="맑은 고딕"/>
        <family val="3"/>
        <charset val="129"/>
        <scheme val="minor"/>
      </rPr>
      <t xml:space="preserve"> the protest.</t>
    </r>
    <phoneticPr fontId="1" type="noConversion"/>
  </si>
  <si>
    <r>
      <t xml:space="preserve">Patience is a </t>
    </r>
    <r>
      <rPr>
        <b/>
        <sz val="11"/>
        <color theme="1"/>
        <rFont val="맑은 고딕"/>
        <family val="3"/>
        <charset val="129"/>
        <scheme val="minor"/>
      </rPr>
      <t>virtue</t>
    </r>
    <r>
      <rPr>
        <sz val="11"/>
        <color theme="1"/>
        <rFont val="맑은 고딕"/>
        <family val="3"/>
        <charset val="129"/>
        <scheme val="minor"/>
      </rPr>
      <t xml:space="preserve"> that few people have.</t>
    </r>
    <phoneticPr fontId="1" type="noConversion"/>
  </si>
  <si>
    <t>facial</t>
    <phoneticPr fontId="1" type="noConversion"/>
  </si>
  <si>
    <t>patience</t>
    <phoneticPr fontId="1" type="noConversion"/>
  </si>
  <si>
    <t>인내, 참을성</t>
    <phoneticPr fontId="1" type="noConversion"/>
  </si>
  <si>
    <t>안면의</t>
    <phoneticPr fontId="1" type="noConversion"/>
  </si>
  <si>
    <t>mislead</t>
    <phoneticPr fontId="1" type="noConversion"/>
  </si>
  <si>
    <t>잘못된 방향으로 이끌다</t>
    <phoneticPr fontId="1" type="noConversion"/>
  </si>
  <si>
    <r>
      <t xml:space="preserve">He </t>
    </r>
    <r>
      <rPr>
        <b/>
        <sz val="11"/>
        <color theme="1"/>
        <rFont val="맑은 고딕"/>
        <family val="3"/>
        <charset val="129"/>
        <scheme val="minor"/>
      </rPr>
      <t>accumulated</t>
    </r>
    <r>
      <rPr>
        <sz val="11"/>
        <color theme="1"/>
        <rFont val="맑은 고딕"/>
        <family val="3"/>
        <charset val="129"/>
        <scheme val="minor"/>
      </rPr>
      <t xml:space="preserve"> a large amount of debt over the years.</t>
    </r>
    <phoneticPr fontId="1" type="noConversion"/>
  </si>
  <si>
    <t>loan</t>
    <phoneticPr fontId="1" type="noConversion"/>
  </si>
  <si>
    <t>대출</t>
    <phoneticPr fontId="1" type="noConversion"/>
  </si>
  <si>
    <r>
      <t xml:space="preserve">Student loans can be a heavy </t>
    </r>
    <r>
      <rPr>
        <b/>
        <sz val="11"/>
        <color theme="1"/>
        <rFont val="맑은 고딕"/>
        <family val="3"/>
        <charset val="129"/>
        <scheme val="minor"/>
      </rPr>
      <t>burden</t>
    </r>
    <r>
      <rPr>
        <sz val="11"/>
        <color theme="1"/>
        <rFont val="맑은 고딕"/>
        <family val="3"/>
        <charset val="129"/>
        <scheme val="minor"/>
      </rPr>
      <t xml:space="preserve"> for young graduates.</t>
    </r>
    <phoneticPr fontId="1" type="noConversion"/>
  </si>
  <si>
    <r>
      <t xml:space="preserve">Many English words </t>
    </r>
    <r>
      <rPr>
        <b/>
        <sz val="11"/>
        <color theme="1"/>
        <rFont val="맑은 고딕"/>
        <family val="3"/>
        <charset val="129"/>
        <scheme val="minor"/>
      </rPr>
      <t>derive</t>
    </r>
    <r>
      <rPr>
        <sz val="11"/>
        <color theme="1"/>
        <rFont val="맑은 고딕"/>
        <family val="3"/>
        <charset val="129"/>
        <scheme val="minor"/>
      </rPr>
      <t xml:space="preserve"> from Latin and Greek.</t>
    </r>
    <phoneticPr fontId="1" type="noConversion"/>
  </si>
  <si>
    <r>
      <t xml:space="preserve">Could you </t>
    </r>
    <r>
      <rPr>
        <b/>
        <sz val="11"/>
        <color theme="1"/>
        <rFont val="맑은 고딕"/>
        <family val="3"/>
        <charset val="129"/>
        <scheme val="minor"/>
      </rPr>
      <t>elaborate</t>
    </r>
    <r>
      <rPr>
        <sz val="11"/>
        <color theme="1"/>
        <rFont val="맑은 고딕"/>
        <family val="3"/>
        <charset val="129"/>
        <scheme val="minor"/>
      </rPr>
      <t xml:space="preserve"> on your plan in more detail?</t>
    </r>
    <phoneticPr fontId="1" type="noConversion"/>
  </si>
  <si>
    <r>
      <t xml:space="preserve">The government </t>
    </r>
    <r>
      <rPr>
        <b/>
        <sz val="11"/>
        <color theme="1"/>
        <rFont val="맑은 고딕"/>
        <family val="3"/>
        <charset val="129"/>
        <scheme val="minor"/>
      </rPr>
      <t>granted</t>
    </r>
    <r>
      <rPr>
        <sz val="11"/>
        <color theme="1"/>
        <rFont val="맑은 고딕"/>
        <family val="3"/>
        <charset val="129"/>
        <scheme val="minor"/>
      </rPr>
      <t xml:space="preserve"> him permission to stay.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</si>
  <si>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outcome</t>
    </r>
    <r>
      <rPr>
        <sz val="11"/>
        <color theme="1"/>
        <rFont val="맑은 고딕"/>
        <family val="3"/>
        <charset val="129"/>
        <scheme val="minor"/>
      </rPr>
      <t xml:space="preserve"> of the election surprised everyone.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</si>
  <si>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principal</t>
    </r>
    <r>
      <rPr>
        <sz val="11"/>
        <color theme="1"/>
        <rFont val="맑은 고딕"/>
        <family val="3"/>
        <charset val="129"/>
        <scheme val="minor"/>
      </rPr>
      <t xml:space="preserve"> announced a new school policy.</t>
    </r>
    <phoneticPr fontId="1" type="noConversion"/>
  </si>
  <si>
    <r>
      <t xml:space="preserve">She decided to </t>
    </r>
    <r>
      <rPr>
        <b/>
        <sz val="11"/>
        <color theme="1"/>
        <rFont val="맑은 고딕"/>
        <family val="3"/>
        <charset val="129"/>
        <scheme val="minor"/>
      </rPr>
      <t>withdraw</t>
    </r>
    <r>
      <rPr>
        <sz val="11"/>
        <color theme="1"/>
        <rFont val="맑은 고딕"/>
        <family val="3"/>
        <charset val="129"/>
        <scheme val="minor"/>
      </rPr>
      <t xml:space="preserve"> her application.</t>
    </r>
    <phoneticPr fontId="1" type="noConversion"/>
  </si>
  <si>
    <r>
      <t xml:space="preserve">The country </t>
    </r>
    <r>
      <rPr>
        <b/>
        <sz val="11"/>
        <color theme="1"/>
        <rFont val="맑은 고딕"/>
        <family val="3"/>
        <charset val="129"/>
        <scheme val="minor"/>
      </rPr>
      <t>abolished</t>
    </r>
    <r>
      <rPr>
        <sz val="11"/>
        <color theme="1"/>
        <rFont val="맑은 고딕"/>
        <family val="3"/>
        <charset val="129"/>
        <scheme val="minor"/>
      </rPr>
      <t xml:space="preserve"> slavery in the 19th century.</t>
    </r>
    <phoneticPr fontId="1" type="noConversion"/>
  </si>
  <si>
    <r>
      <t xml:space="preserve">The investigation </t>
    </r>
    <r>
      <rPr>
        <b/>
        <sz val="11"/>
        <color theme="1"/>
        <rFont val="맑은 고딕"/>
        <family val="3"/>
        <charset val="129"/>
        <scheme val="minor"/>
      </rPr>
      <t>concluded</t>
    </r>
    <r>
      <rPr>
        <sz val="11"/>
        <color theme="1"/>
        <rFont val="맑은 고딕"/>
        <family val="3"/>
        <charset val="129"/>
        <scheme val="minor"/>
      </rPr>
      <t xml:space="preserve"> that the fire was accidental.</t>
    </r>
    <phoneticPr fontId="1" type="noConversion"/>
  </si>
  <si>
    <r>
      <t xml:space="preserve">His influence has </t>
    </r>
    <r>
      <rPr>
        <b/>
        <sz val="11"/>
        <color theme="1"/>
        <rFont val="맑은 고딕"/>
        <family val="3"/>
        <charset val="129"/>
        <scheme val="minor"/>
      </rPr>
      <t>diminished</t>
    </r>
    <r>
      <rPr>
        <sz val="11"/>
        <color theme="1"/>
        <rFont val="맑은 고딕"/>
        <family val="3"/>
        <charset val="129"/>
        <scheme val="minor"/>
      </rPr>
      <t xml:space="preserve"> over the past few years.</t>
    </r>
    <phoneticPr fontId="1" type="noConversion"/>
  </si>
  <si>
    <r>
      <t xml:space="preserve">She is looking for a </t>
    </r>
    <r>
      <rPr>
        <b/>
        <sz val="11"/>
        <color theme="1"/>
        <rFont val="맑은 고딕"/>
        <family val="3"/>
        <charset val="129"/>
        <scheme val="minor"/>
      </rPr>
      <t>permanent</t>
    </r>
    <r>
      <rPr>
        <sz val="11"/>
        <color theme="1"/>
        <rFont val="맑은 고딕"/>
        <family val="3"/>
        <charset val="129"/>
        <scheme val="minor"/>
      </rPr>
      <t xml:space="preserve"> position, not a contract.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</si>
  <si>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transition</t>
    </r>
    <r>
      <rPr>
        <sz val="11"/>
        <color theme="1"/>
        <rFont val="맑은 고딕"/>
        <family val="3"/>
        <charset val="129"/>
        <scheme val="minor"/>
      </rPr>
      <t xml:space="preserve"> from school to work can be challenging.</t>
    </r>
    <phoneticPr fontId="1" type="noConversion"/>
  </si>
  <si>
    <r>
      <t xml:space="preserve">He presented a </t>
    </r>
    <r>
      <rPr>
        <b/>
        <sz val="11"/>
        <color theme="1"/>
        <rFont val="맑은 고딕"/>
        <family val="3"/>
        <charset val="129"/>
        <scheme val="minor"/>
      </rPr>
      <t>coherent</t>
    </r>
    <r>
      <rPr>
        <sz val="11"/>
        <color theme="1"/>
        <rFont val="맑은 고딕"/>
        <family val="3"/>
        <charset val="129"/>
        <scheme val="minor"/>
      </rPr>
      <t xml:space="preserve"> argument during the debate.</t>
    </r>
    <phoneticPr fontId="1" type="noConversion"/>
  </si>
  <si>
    <t>debate</t>
    <phoneticPr fontId="1" type="noConversion"/>
  </si>
  <si>
    <t>논쟁, 토론</t>
    <phoneticPr fontId="1" type="noConversion"/>
  </si>
  <si>
    <t>patient</t>
    <phoneticPr fontId="1" type="noConversion"/>
  </si>
  <si>
    <t>환자</t>
    <phoneticPr fontId="1" type="noConversion"/>
  </si>
  <si>
    <r>
      <t xml:space="preserve">A judge must remain </t>
    </r>
    <r>
      <rPr>
        <b/>
        <sz val="11"/>
        <color theme="1"/>
        <rFont val="맑은 고딕"/>
        <family val="3"/>
        <charset val="129"/>
        <scheme val="minor"/>
      </rPr>
      <t>impartial</t>
    </r>
    <r>
      <rPr>
        <sz val="11"/>
        <color theme="1"/>
        <rFont val="맑은 고딕"/>
        <family val="3"/>
        <charset val="129"/>
        <scheme val="minor"/>
      </rPr>
      <t xml:space="preserve"> in every case.</t>
    </r>
    <phoneticPr fontId="1" type="noConversion"/>
  </si>
  <si>
    <r>
      <t xml:space="preserve">She is a </t>
    </r>
    <r>
      <rPr>
        <b/>
        <sz val="11"/>
        <color theme="1"/>
        <rFont val="맑은 고딕"/>
        <family val="3"/>
        <charset val="129"/>
        <scheme val="minor"/>
      </rPr>
      <t>prominent</t>
    </r>
    <r>
      <rPr>
        <sz val="11"/>
        <color theme="1"/>
        <rFont val="맑은 고딕"/>
        <family val="3"/>
        <charset val="129"/>
        <scheme val="minor"/>
      </rPr>
      <t xml:space="preserve"> figure in the tech industry.</t>
    </r>
    <phoneticPr fontId="1" type="noConversion"/>
  </si>
  <si>
    <t>figure</t>
    <phoneticPr fontId="1" type="noConversion"/>
  </si>
  <si>
    <t>수치, 인물, 생각하다</t>
    <phoneticPr fontId="1" type="noConversion"/>
  </si>
  <si>
    <r>
      <t xml:space="preserve">The training program is </t>
    </r>
    <r>
      <rPr>
        <b/>
        <sz val="11"/>
        <color theme="1"/>
        <rFont val="맑은 고딕"/>
        <family val="3"/>
        <charset val="129"/>
        <scheme val="minor"/>
      </rPr>
      <t>rigorous</t>
    </r>
    <r>
      <rPr>
        <sz val="11"/>
        <color theme="1"/>
        <rFont val="맑은 고딕"/>
        <family val="3"/>
        <charset val="129"/>
        <scheme val="minor"/>
      </rPr>
      <t xml:space="preserve"> but rewarding.</t>
    </r>
    <phoneticPr fontId="1" type="noConversion"/>
  </si>
  <si>
    <t>rewarding</t>
    <phoneticPr fontId="1" type="noConversion"/>
  </si>
  <si>
    <t>가치가 있는</t>
    <phoneticPr fontId="1" type="noConversion"/>
  </si>
  <si>
    <r>
      <t xml:space="preserve">A </t>
    </r>
    <r>
      <rPr>
        <b/>
        <sz val="11"/>
        <color theme="1"/>
        <rFont val="맑은 고딕"/>
        <family val="3"/>
        <charset val="129"/>
        <scheme val="minor"/>
      </rPr>
      <t>diligent</t>
    </r>
    <r>
      <rPr>
        <sz val="11"/>
        <color theme="1"/>
        <rFont val="맑은 고딕"/>
        <family val="3"/>
        <charset val="129"/>
        <scheme val="minor"/>
      </rPr>
      <t xml:space="preserve"> student always completes homework on time.</t>
    </r>
    <phoneticPr fontId="1" type="noConversion"/>
  </si>
  <si>
    <r>
      <t xml:space="preserve">He is a </t>
    </r>
    <r>
      <rPr>
        <b/>
        <sz val="11"/>
        <color theme="1"/>
        <rFont val="맑은 고딕"/>
        <family val="3"/>
        <charset val="129"/>
        <scheme val="minor"/>
      </rPr>
      <t>versatile</t>
    </r>
    <r>
      <rPr>
        <sz val="11"/>
        <color theme="1"/>
        <rFont val="맑은 고딕"/>
        <family val="3"/>
        <charset val="129"/>
        <scheme val="minor"/>
      </rPr>
      <t xml:space="preserve"> player who can play any position.</t>
    </r>
    <phoneticPr fontId="1" type="noConversion"/>
  </si>
  <si>
    <r>
      <t xml:space="preserve">Keep your answers </t>
    </r>
    <r>
      <rPr>
        <b/>
        <sz val="11"/>
        <color theme="1"/>
        <rFont val="맑은 고딕"/>
        <family val="3"/>
        <charset val="129"/>
        <scheme val="minor"/>
      </rPr>
      <t>concise</t>
    </r>
    <r>
      <rPr>
        <sz val="11"/>
        <color theme="1"/>
        <rFont val="맑은 고딕"/>
        <family val="3"/>
        <charset val="129"/>
        <scheme val="minor"/>
      </rPr>
      <t xml:space="preserve"> and to the point.</t>
    </r>
    <phoneticPr fontId="1" type="noConversion"/>
  </si>
  <si>
    <r>
      <t xml:space="preserve">Fax machines are now considered </t>
    </r>
    <r>
      <rPr>
        <b/>
        <sz val="11"/>
        <color theme="1"/>
        <rFont val="맑은 고딕"/>
        <family val="3"/>
        <charset val="129"/>
        <scheme val="minor"/>
      </rPr>
      <t>obsolete</t>
    </r>
    <r>
      <rPr>
        <sz val="11"/>
        <color theme="1"/>
        <rFont val="맑은 고딕"/>
        <family val="3"/>
        <charset val="129"/>
        <scheme val="minor"/>
      </rPr>
      <t xml:space="preserve"> technology.</t>
    </r>
    <phoneticPr fontId="1" type="noConversion"/>
  </si>
  <si>
    <r>
      <t xml:space="preserve">His excuse sounded </t>
    </r>
    <r>
      <rPr>
        <b/>
        <sz val="11"/>
        <color theme="1"/>
        <rFont val="맑은 고딕"/>
        <family val="3"/>
        <charset val="129"/>
        <scheme val="minor"/>
      </rPr>
      <t>plausible</t>
    </r>
    <r>
      <rPr>
        <sz val="11"/>
        <color theme="1"/>
        <rFont val="맑은 고딕"/>
        <family val="3"/>
        <charset val="129"/>
        <scheme val="minor"/>
      </rPr>
      <t>, but no one believed him.</t>
    </r>
    <phoneticPr fontId="1" type="noConversion"/>
  </si>
  <si>
    <r>
      <t xml:space="preserve">Don't waste time on </t>
    </r>
    <r>
      <rPr>
        <b/>
        <sz val="11"/>
        <color theme="1"/>
        <rFont val="맑은 고딕"/>
        <family val="3"/>
        <charset val="129"/>
        <scheme val="minor"/>
      </rPr>
      <t>trivial</t>
    </r>
    <r>
      <rPr>
        <sz val="11"/>
        <color theme="1"/>
        <rFont val="맑은 고딕"/>
        <family val="3"/>
        <charset val="129"/>
        <scheme val="minor"/>
      </rPr>
      <t xml:space="preserve"> matters.</t>
    </r>
    <phoneticPr fontId="1" type="noConversion"/>
  </si>
  <si>
    <r>
      <t xml:space="preserve">Please </t>
    </r>
    <r>
      <rPr>
        <b/>
        <sz val="11"/>
        <color theme="1"/>
        <rFont val="맑은 고딕"/>
        <family val="3"/>
        <charset val="129"/>
        <scheme val="minor"/>
      </rPr>
      <t>notify</t>
    </r>
    <r>
      <rPr>
        <sz val="11"/>
        <color theme="1"/>
        <rFont val="맑은 고딕"/>
        <family val="3"/>
        <charset val="129"/>
        <scheme val="minor"/>
      </rPr>
      <t xml:space="preserve"> us if your address changes.</t>
    </r>
    <phoneticPr fontId="1" type="noConversion"/>
  </si>
  <si>
    <r>
      <t xml:space="preserve">The company wants to </t>
    </r>
    <r>
      <rPr>
        <b/>
        <sz val="11"/>
        <color theme="1"/>
        <rFont val="맑은 고딕"/>
        <family val="3"/>
        <charset val="129"/>
        <scheme val="minor"/>
      </rPr>
      <t>retain</t>
    </r>
    <r>
      <rPr>
        <sz val="11"/>
        <color theme="1"/>
        <rFont val="맑은 고딕"/>
        <family val="3"/>
        <charset val="129"/>
        <scheme val="minor"/>
      </rPr>
      <t xml:space="preserve"> its best employees.</t>
    </r>
    <phoneticPr fontId="1" type="noConversion"/>
  </si>
  <si>
    <r>
      <t xml:space="preserve">Building a bridge here is technically </t>
    </r>
    <r>
      <rPr>
        <b/>
        <sz val="11"/>
        <color theme="1"/>
        <rFont val="맑은 고딕"/>
        <family val="3"/>
        <charset val="129"/>
        <scheme val="minor"/>
      </rPr>
      <t>feasible</t>
    </r>
    <r>
      <rPr>
        <sz val="11"/>
        <color theme="1"/>
        <rFont val="맑은 고딕"/>
        <family val="3"/>
        <charset val="129"/>
        <scheme val="minor"/>
      </rPr>
      <t>.</t>
    </r>
    <phoneticPr fontId="1" type="noConversion"/>
  </si>
  <si>
    <t>constant</t>
    <phoneticPr fontId="1" type="noConversion"/>
  </si>
  <si>
    <t>criticism</t>
    <phoneticPr fontId="1" type="noConversion"/>
  </si>
  <si>
    <t>지속적인</t>
    <phoneticPr fontId="1" type="noConversion"/>
  </si>
  <si>
    <t>비판</t>
    <phoneticPr fontId="1" type="noConversion"/>
  </si>
  <si>
    <r>
      <t xml:space="preserve">Constant criticism can </t>
    </r>
    <r>
      <rPr>
        <b/>
        <sz val="11"/>
        <color theme="1"/>
        <rFont val="맑은 고딕"/>
        <family val="3"/>
        <charset val="129"/>
        <scheme val="minor"/>
      </rPr>
      <t>undermine</t>
    </r>
    <r>
      <rPr>
        <sz val="11"/>
        <color theme="1"/>
        <rFont val="맑은 고딕"/>
        <family val="3"/>
        <charset val="129"/>
        <scheme val="minor"/>
      </rPr>
      <t xml:space="preserve"> a child's confidence.</t>
    </r>
    <phoneticPr fontId="1" type="noConversion"/>
  </si>
  <si>
    <r>
      <t xml:space="preserve">It would be </t>
    </r>
    <r>
      <rPr>
        <b/>
        <sz val="11"/>
        <color theme="1"/>
        <rFont val="맑은 고딕"/>
        <family val="3"/>
        <charset val="129"/>
        <scheme val="minor"/>
      </rPr>
      <t>prudent</t>
    </r>
    <r>
      <rPr>
        <sz val="11"/>
        <color theme="1"/>
        <rFont val="맑은 고딕"/>
        <family val="3"/>
        <charset val="129"/>
        <scheme val="minor"/>
      </rPr>
      <t xml:space="preserve"> to save money for emergencies.</t>
    </r>
    <phoneticPr fontId="1" type="noConversion"/>
  </si>
  <si>
    <r>
      <t xml:space="preserve">We need </t>
    </r>
    <r>
      <rPr>
        <b/>
        <sz val="11"/>
        <color theme="1"/>
        <rFont val="맑은 고딕"/>
        <family val="3"/>
        <charset val="129"/>
        <scheme val="minor"/>
      </rPr>
      <t>tangible</t>
    </r>
    <r>
      <rPr>
        <sz val="11"/>
        <color theme="1"/>
        <rFont val="맑은 고딕"/>
        <family val="3"/>
        <charset val="129"/>
        <scheme val="minor"/>
      </rPr>
      <t xml:space="preserve"> evidence, not just opinions.</t>
    </r>
    <phoneticPr fontId="1" type="noConversion"/>
  </si>
  <si>
    <r>
      <t xml:space="preserve">The decision seemed </t>
    </r>
    <r>
      <rPr>
        <b/>
        <sz val="11"/>
        <color theme="1"/>
        <rFont val="맑은 고딕"/>
        <family val="3"/>
        <charset val="129"/>
        <scheme val="minor"/>
      </rPr>
      <t>arbitrary</t>
    </r>
    <r>
      <rPr>
        <sz val="11"/>
        <color theme="1"/>
        <rFont val="맑은 고딕"/>
        <family val="3"/>
        <charset val="129"/>
        <scheme val="minor"/>
      </rPr>
      <t xml:space="preserve"> and unfair.</t>
    </r>
    <phoneticPr fontId="1" type="noConversion"/>
  </si>
  <si>
    <r>
      <t xml:space="preserve">The book had a </t>
    </r>
    <r>
      <rPr>
        <b/>
        <sz val="11"/>
        <color theme="1"/>
        <rFont val="맑은 고딕"/>
        <family val="3"/>
        <charset val="129"/>
        <scheme val="minor"/>
      </rPr>
      <t>profound</t>
    </r>
    <r>
      <rPr>
        <sz val="11"/>
        <color theme="1"/>
        <rFont val="맑은 고딕"/>
        <family val="3"/>
        <charset val="129"/>
        <scheme val="minor"/>
      </rPr>
      <t xml:space="preserve"> impact on my thinking.</t>
    </r>
    <phoneticPr fontId="1" type="noConversion"/>
  </si>
  <si>
    <r>
      <t xml:space="preserve">Risk is </t>
    </r>
    <r>
      <rPr>
        <b/>
        <sz val="11"/>
        <color theme="1"/>
        <rFont val="맑은 고딕"/>
        <family val="3"/>
        <charset val="129"/>
        <scheme val="minor"/>
      </rPr>
      <t>inherent</t>
    </r>
    <r>
      <rPr>
        <sz val="11"/>
        <color theme="1"/>
        <rFont val="맑은 고딕"/>
        <family val="3"/>
        <charset val="129"/>
        <scheme val="minor"/>
      </rPr>
      <t xml:space="preserve"> in any business venture.</t>
    </r>
    <phoneticPr fontId="1" type="noConversion"/>
  </si>
  <si>
    <r>
      <t xml:space="preserve">Filing paperwork is a </t>
    </r>
    <r>
      <rPr>
        <b/>
        <sz val="11"/>
        <color theme="1"/>
        <rFont val="맑은 고딕"/>
        <family val="3"/>
        <charset val="129"/>
        <scheme val="minor"/>
      </rPr>
      <t>tedious</t>
    </r>
    <r>
      <rPr>
        <sz val="11"/>
        <color theme="1"/>
        <rFont val="맑은 고딕"/>
        <family val="3"/>
        <charset val="129"/>
        <scheme val="minor"/>
      </rPr>
      <t xml:space="preserve"> but necessary task.</t>
    </r>
    <phoneticPr fontId="1" type="noConversion"/>
  </si>
  <si>
    <r>
      <t xml:space="preserve">The program aims to </t>
    </r>
    <r>
      <rPr>
        <b/>
        <sz val="11"/>
        <color theme="1"/>
        <rFont val="맑은 고딕"/>
        <family val="3"/>
        <charset val="129"/>
        <scheme val="minor"/>
      </rPr>
      <t>foster</t>
    </r>
    <r>
      <rPr>
        <sz val="11"/>
        <color theme="1"/>
        <rFont val="맑은 고딕"/>
        <family val="3"/>
        <charset val="129"/>
        <scheme val="minor"/>
      </rPr>
      <t xml:space="preserve"> creativity in children.</t>
    </r>
    <phoneticPr fontId="1" type="noConversion"/>
  </si>
  <si>
    <r>
      <t xml:space="preserve">He sat alone to </t>
    </r>
    <r>
      <rPr>
        <b/>
        <sz val="11"/>
        <color theme="1"/>
        <rFont val="맑은 고딕"/>
        <family val="3"/>
        <charset val="129"/>
        <scheme val="minor"/>
      </rPr>
      <t>contemplate</t>
    </r>
    <r>
      <rPr>
        <sz val="11"/>
        <color theme="1"/>
        <rFont val="맑은 고딕"/>
        <family val="3"/>
        <charset val="129"/>
        <scheme val="minor"/>
      </rPr>
      <t xml:space="preserve"> his next move.</t>
    </r>
    <phoneticPr fontId="1" type="noConversion"/>
  </si>
  <si>
    <r>
      <t xml:space="preserve">She was </t>
    </r>
    <r>
      <rPr>
        <b/>
        <sz val="11"/>
        <color theme="1"/>
        <rFont val="맑은 고딕"/>
        <family val="3"/>
        <charset val="129"/>
        <scheme val="minor"/>
      </rPr>
      <t>skeptical</t>
    </r>
    <r>
      <rPr>
        <sz val="11"/>
        <color theme="1"/>
        <rFont val="맑은 고딕"/>
        <family val="3"/>
        <charset val="129"/>
        <scheme val="minor"/>
      </rPr>
      <t xml:space="preserve"> about the new treatment.</t>
    </r>
    <phoneticPr fontId="1" type="noConversion"/>
  </si>
  <si>
    <r>
      <t xml:space="preserve">The patient's condition began to </t>
    </r>
    <r>
      <rPr>
        <b/>
        <sz val="11"/>
        <color theme="1"/>
        <rFont val="맑은 고딕"/>
        <family val="3"/>
        <charset val="129"/>
        <scheme val="minor"/>
      </rPr>
      <t>deteriorate</t>
    </r>
    <r>
      <rPr>
        <sz val="11"/>
        <color theme="1"/>
        <rFont val="맑은 고딕"/>
        <family val="3"/>
        <charset val="129"/>
        <scheme val="minor"/>
      </rPr>
      <t xml:space="preserve"> rapidly.</t>
    </r>
    <phoneticPr fontId="1" type="noConversion"/>
  </si>
  <si>
    <r>
      <t xml:space="preserve">Clean water is </t>
    </r>
    <r>
      <rPr>
        <b/>
        <sz val="11"/>
        <color theme="1"/>
        <rFont val="맑은 고딕"/>
        <family val="3"/>
        <charset val="129"/>
        <scheme val="minor"/>
      </rPr>
      <t>indispensable</t>
    </r>
    <r>
      <rPr>
        <sz val="11"/>
        <color theme="1"/>
        <rFont val="맑은 고딕"/>
        <family val="3"/>
        <charset val="129"/>
        <scheme val="minor"/>
      </rPr>
      <t xml:space="preserve"> for human survival.</t>
    </r>
    <phoneticPr fontId="1" type="noConversion"/>
  </si>
  <si>
    <r>
      <t xml:space="preserve">Her </t>
    </r>
    <r>
      <rPr>
        <b/>
        <sz val="11"/>
        <color theme="1"/>
        <rFont val="맑은 고딕"/>
        <family val="3"/>
        <charset val="129"/>
        <scheme val="minor"/>
      </rPr>
      <t>persistent</t>
    </r>
    <r>
      <rPr>
        <sz val="11"/>
        <color theme="1"/>
        <rFont val="맑은 고딕"/>
        <family val="3"/>
        <charset val="129"/>
        <scheme val="minor"/>
      </rPr>
      <t xml:space="preserve"> efforts finally paid off.</t>
    </r>
    <phoneticPr fontId="1" type="noConversion"/>
  </si>
  <si>
    <r>
      <t xml:space="preserve">This medicine will </t>
    </r>
    <r>
      <rPr>
        <b/>
        <sz val="11"/>
        <color theme="1"/>
        <rFont val="맑은 고딕"/>
        <family val="3"/>
        <charset val="129"/>
        <scheme val="minor"/>
      </rPr>
      <t>alleviate</t>
    </r>
    <r>
      <rPr>
        <sz val="11"/>
        <color theme="1"/>
        <rFont val="맑은 고딕"/>
        <family val="3"/>
        <charset val="129"/>
        <scheme val="minor"/>
      </rPr>
      <t xml:space="preserve"> your pain.</t>
    </r>
    <phoneticPr fontId="1" type="noConversion"/>
  </si>
  <si>
    <r>
      <t xml:space="preserve">His bright red jacket was </t>
    </r>
    <r>
      <rPr>
        <b/>
        <sz val="11"/>
        <color theme="1"/>
        <rFont val="맑은 고딕"/>
        <family val="3"/>
        <charset val="129"/>
        <scheme val="minor"/>
      </rPr>
      <t>conspicuous</t>
    </r>
    <r>
      <rPr>
        <sz val="11"/>
        <color theme="1"/>
        <rFont val="맑은 고딕"/>
        <family val="3"/>
        <charset val="129"/>
        <scheme val="minor"/>
      </rPr>
      <t xml:space="preserve"> in the crowd.</t>
    </r>
    <phoneticPr fontId="1" type="noConversion"/>
  </si>
  <si>
    <r>
      <t xml:space="preserve">She had to </t>
    </r>
    <r>
      <rPr>
        <b/>
        <sz val="11"/>
        <color theme="1"/>
        <rFont val="맑은 고딕"/>
        <family val="3"/>
        <charset val="129"/>
        <scheme val="minor"/>
      </rPr>
      <t>confront</t>
    </r>
    <r>
      <rPr>
        <sz val="11"/>
        <color theme="1"/>
        <rFont val="맑은 고딕"/>
        <family val="3"/>
        <charset val="129"/>
        <scheme val="minor"/>
      </rPr>
      <t xml:space="preserve"> her fear of public speaking.</t>
    </r>
    <phoneticPr fontId="1" type="noConversion"/>
  </si>
  <si>
    <r>
      <t xml:space="preserve">The painting </t>
    </r>
    <r>
      <rPr>
        <b/>
        <sz val="11"/>
        <color theme="1"/>
        <rFont val="맑은 고딕"/>
        <family val="3"/>
        <charset val="129"/>
        <scheme val="minor"/>
      </rPr>
      <t>depicts</t>
    </r>
    <r>
      <rPr>
        <sz val="11"/>
        <color theme="1"/>
        <rFont val="맑은 고딕"/>
        <family val="3"/>
        <charset val="129"/>
        <scheme val="minor"/>
      </rPr>
      <t xml:space="preserve"> a beautiful sunset over the ocean.</t>
    </r>
    <phoneticPr fontId="1" type="noConversion"/>
  </si>
  <si>
    <r>
      <t xml:space="preserve">The company decided to </t>
    </r>
    <r>
      <rPr>
        <b/>
        <sz val="11"/>
        <color theme="1"/>
        <rFont val="맑은 고딕"/>
        <family val="3"/>
        <charset val="129"/>
        <scheme val="minor"/>
      </rPr>
      <t>dismiss</t>
    </r>
    <r>
      <rPr>
        <sz val="11"/>
        <color theme="1"/>
        <rFont val="맑은 고딕"/>
        <family val="3"/>
        <charset val="129"/>
        <scheme val="minor"/>
      </rPr>
      <t xml:space="preserve"> ten employees.</t>
    </r>
    <phoneticPr fontId="1" type="noConversion"/>
  </si>
  <si>
    <r>
      <t xml:space="preserve">Oil prices tend to </t>
    </r>
    <r>
      <rPr>
        <b/>
        <sz val="11"/>
        <color theme="1"/>
        <rFont val="맑은 고딕"/>
        <family val="3"/>
        <charset val="129"/>
        <scheme val="minor"/>
      </rPr>
      <t>fluctuate</t>
    </r>
    <r>
      <rPr>
        <sz val="11"/>
        <color theme="1"/>
        <rFont val="맑은 고딕"/>
        <family val="3"/>
        <charset val="129"/>
        <scheme val="minor"/>
      </rPr>
      <t xml:space="preserve"> throughout the year.</t>
    </r>
    <phoneticPr fontId="1" type="noConversion"/>
  </si>
  <si>
    <r>
      <t xml:space="preserve">The bonus served as an </t>
    </r>
    <r>
      <rPr>
        <b/>
        <sz val="11"/>
        <color theme="1"/>
        <rFont val="맑은 고딕"/>
        <family val="3"/>
        <charset val="129"/>
        <scheme val="minor"/>
      </rPr>
      <t>incentive</t>
    </r>
    <r>
      <rPr>
        <sz val="11"/>
        <color theme="1"/>
        <rFont val="맑은 고딕"/>
        <family val="3"/>
        <charset val="129"/>
        <scheme val="minor"/>
      </rPr>
      <t xml:space="preserve"> for the sales team.</t>
    </r>
    <phoneticPr fontId="1" type="noConversion"/>
  </si>
  <si>
    <r>
      <t xml:space="preserve">Is this a </t>
    </r>
    <r>
      <rPr>
        <b/>
        <sz val="11"/>
        <color theme="1"/>
        <rFont val="맑은 고딕"/>
        <family val="3"/>
        <charset val="129"/>
        <scheme val="minor"/>
      </rPr>
      <t>legitimate</t>
    </r>
    <r>
      <rPr>
        <sz val="11"/>
        <color theme="1"/>
        <rFont val="맑은 고딕"/>
        <family val="3"/>
        <charset val="129"/>
        <scheme val="minor"/>
      </rPr>
      <t xml:space="preserve"> business or a scam?</t>
    </r>
    <phoneticPr fontId="1" type="noConversion"/>
  </si>
  <si>
    <r>
      <t xml:space="preserve">The difference in cost was </t>
    </r>
    <r>
      <rPr>
        <b/>
        <sz val="11"/>
        <color theme="1"/>
        <rFont val="맑은 고딕"/>
        <family val="3"/>
        <charset val="129"/>
        <scheme val="minor"/>
      </rPr>
      <t>negligible</t>
    </r>
    <r>
      <rPr>
        <sz val="11"/>
        <color theme="1"/>
        <rFont val="맑은 고딕"/>
        <family val="3"/>
        <charset val="129"/>
        <scheme val="minor"/>
      </rPr>
      <t>.</t>
    </r>
    <phoneticPr fontId="1" type="noConversion"/>
  </si>
  <si>
    <r>
      <t xml:space="preserve">A brief introduction will </t>
    </r>
    <r>
      <rPr>
        <b/>
        <sz val="11"/>
        <color theme="1"/>
        <rFont val="맑은 고딕"/>
        <family val="3"/>
        <charset val="129"/>
        <scheme val="minor"/>
      </rPr>
      <t>precede</t>
    </r>
    <r>
      <rPr>
        <sz val="11"/>
        <color theme="1"/>
        <rFont val="맑은 고딕"/>
        <family val="3"/>
        <charset val="129"/>
        <scheme val="minor"/>
      </rPr>
      <t xml:space="preserve"> the main speech.</t>
    </r>
    <phoneticPr fontId="1" type="noConversion"/>
  </si>
  <si>
    <t>brief</t>
    <phoneticPr fontId="1" type="noConversion"/>
  </si>
  <si>
    <t>짧은, 보고서, 개요</t>
    <phoneticPr fontId="1" type="noConversion"/>
  </si>
  <si>
    <r>
      <t xml:space="preserve">The lawyer tried to </t>
    </r>
    <r>
      <rPr>
        <b/>
        <sz val="11"/>
        <color theme="1"/>
        <rFont val="맑은 고딕"/>
        <family val="3"/>
        <charset val="129"/>
        <scheme val="minor"/>
      </rPr>
      <t>refute</t>
    </r>
    <r>
      <rPr>
        <sz val="11"/>
        <color theme="1"/>
        <rFont val="맑은 고딕"/>
        <family val="3"/>
        <charset val="129"/>
        <scheme val="minor"/>
      </rPr>
      <t xml:space="preserve"> every accusation.</t>
    </r>
    <phoneticPr fontId="1" type="noConversion"/>
  </si>
  <si>
    <t>accusation</t>
    <phoneticPr fontId="1" type="noConversion"/>
  </si>
  <si>
    <t>비난, 고소, 죄</t>
    <phoneticPr fontId="1" type="noConversion"/>
  </si>
  <si>
    <r>
      <t xml:space="preserve">The two events happened at a </t>
    </r>
    <r>
      <rPr>
        <b/>
        <sz val="11"/>
        <color theme="1"/>
        <rFont val="맑은 고딕"/>
        <family val="3"/>
        <charset val="129"/>
        <scheme val="minor"/>
      </rPr>
      <t>simultaneous</t>
    </r>
    <r>
      <rPr>
        <sz val="11"/>
        <color theme="1"/>
        <rFont val="맑은 고딕"/>
        <family val="3"/>
        <charset val="129"/>
        <scheme val="minor"/>
      </rPr>
      <t xml:space="preserve"> moment.</t>
    </r>
    <phoneticPr fontId="1" type="noConversion"/>
  </si>
  <si>
    <r>
      <t xml:space="preserve">The board reached a </t>
    </r>
    <r>
      <rPr>
        <b/>
        <sz val="11"/>
        <color theme="1"/>
        <rFont val="맑은 고딕"/>
        <family val="3"/>
        <charset val="129"/>
        <scheme val="minor"/>
      </rPr>
      <t>unanimous</t>
    </r>
    <r>
      <rPr>
        <sz val="11"/>
        <color theme="1"/>
        <rFont val="맑은 고딕"/>
        <family val="3"/>
        <charset val="129"/>
        <scheme val="minor"/>
      </rPr>
      <t xml:space="preserve"> decision to approve the plan.</t>
    </r>
    <phoneticPr fontId="1" type="noConversion"/>
  </si>
  <si>
    <r>
      <t xml:space="preserve">The donor wished to remain </t>
    </r>
    <r>
      <rPr>
        <b/>
        <sz val="11"/>
        <color theme="1"/>
        <rFont val="맑은 고딕"/>
        <family val="3"/>
        <charset val="129"/>
        <scheme val="minor"/>
      </rPr>
      <t>anonymous</t>
    </r>
    <r>
      <rPr>
        <sz val="11"/>
        <color theme="1"/>
        <rFont val="맑은 고딕"/>
        <family val="3"/>
        <charset val="129"/>
        <scheme val="minor"/>
      </rPr>
      <t>.</t>
    </r>
    <phoneticPr fontId="1" type="noConversion"/>
  </si>
  <si>
    <t>donor</t>
    <phoneticPr fontId="1" type="noConversion"/>
  </si>
  <si>
    <t>기증자</t>
    <phoneticPr fontId="1" type="noConversion"/>
  </si>
  <si>
    <r>
      <t xml:space="preserve">We should </t>
    </r>
    <r>
      <rPr>
        <b/>
        <sz val="11"/>
        <color theme="1"/>
        <rFont val="맑은 고딕"/>
        <family val="3"/>
        <charset val="129"/>
        <scheme val="minor"/>
      </rPr>
      <t>utilize</t>
    </r>
    <r>
      <rPr>
        <sz val="11"/>
        <color theme="1"/>
        <rFont val="맑은 고딕"/>
        <family val="3"/>
        <charset val="129"/>
        <scheme val="minor"/>
      </rPr>
      <t xml:space="preserve"> all available resources.</t>
    </r>
    <phoneticPr fontId="1" type="noConversion"/>
  </si>
  <si>
    <r>
      <t xml:space="preserve">The car began to </t>
    </r>
    <r>
      <rPr>
        <b/>
        <sz val="11"/>
        <color theme="1"/>
        <rFont val="맑은 고딕"/>
        <family val="3"/>
        <charset val="129"/>
        <scheme val="minor"/>
      </rPr>
      <t>accelerate</t>
    </r>
    <r>
      <rPr>
        <sz val="11"/>
        <color theme="1"/>
        <rFont val="맑은 고딕"/>
        <family val="3"/>
        <charset val="129"/>
        <scheme val="minor"/>
      </rPr>
      <t xml:space="preserve"> on the highway.</t>
    </r>
    <phoneticPr fontId="1" type="noConversion"/>
  </si>
  <si>
    <r>
      <t xml:space="preserve">She is known for her </t>
    </r>
    <r>
      <rPr>
        <b/>
        <sz val="11"/>
        <color theme="1"/>
        <rFont val="맑은 고딕"/>
        <family val="3"/>
        <charset val="129"/>
        <scheme val="minor"/>
      </rPr>
      <t>benevolent</t>
    </r>
    <r>
      <rPr>
        <sz val="11"/>
        <color theme="1"/>
        <rFont val="맑은 고딕"/>
        <family val="3"/>
        <charset val="129"/>
        <scheme val="minor"/>
      </rPr>
      <t xml:space="preserve"> nature.</t>
    </r>
    <phoneticPr fontId="1" type="noConversion"/>
  </si>
  <si>
    <t>nature</t>
    <phoneticPr fontId="1" type="noConversion"/>
  </si>
  <si>
    <t>자연, 본성, 성격</t>
    <phoneticPr fontId="1" type="noConversion"/>
  </si>
  <si>
    <r>
      <t xml:space="preserve">Be </t>
    </r>
    <r>
      <rPr>
        <b/>
        <sz val="11"/>
        <color theme="1"/>
        <rFont val="맑은 고딕"/>
        <family val="3"/>
        <charset val="129"/>
        <scheme val="minor"/>
      </rPr>
      <t>cautious</t>
    </r>
    <r>
      <rPr>
        <sz val="11"/>
        <color theme="1"/>
        <rFont val="맑은 고딕"/>
        <family val="3"/>
        <charset val="129"/>
        <scheme val="minor"/>
      </rPr>
      <t xml:space="preserve"> when crossing the street at night.</t>
    </r>
    <phoneticPr fontId="1" type="noConversion"/>
  </si>
  <si>
    <r>
      <t xml:space="preserve">Experts were unable to </t>
    </r>
    <r>
      <rPr>
        <b/>
        <sz val="11"/>
        <color theme="1"/>
        <rFont val="맑은 고딕"/>
        <family val="3"/>
        <charset val="129"/>
        <scheme val="minor"/>
      </rPr>
      <t>decipher</t>
    </r>
    <r>
      <rPr>
        <sz val="11"/>
        <color theme="1"/>
        <rFont val="맑은 고딕"/>
        <family val="3"/>
        <charset val="129"/>
        <scheme val="minor"/>
      </rPr>
      <t xml:space="preserve"> the ancient text.</t>
    </r>
    <phoneticPr fontId="1" type="noConversion"/>
  </si>
  <si>
    <r>
      <t xml:space="preserve">Handle with care — the glass is very </t>
    </r>
    <r>
      <rPr>
        <b/>
        <sz val="11"/>
        <color theme="1"/>
        <rFont val="맑은 고딕"/>
        <family val="3"/>
        <charset val="129"/>
        <scheme val="minor"/>
      </rPr>
      <t>fragile</t>
    </r>
    <r>
      <rPr>
        <sz val="11"/>
        <color theme="1"/>
        <rFont val="맑은 고딕"/>
        <family val="3"/>
        <charset val="129"/>
        <scheme val="minor"/>
      </rPr>
      <t>.</t>
    </r>
    <phoneticPr fontId="1" type="noConversion"/>
  </si>
  <si>
    <r>
      <t xml:space="preserve">Please use </t>
    </r>
    <r>
      <rPr>
        <b/>
        <sz val="11"/>
        <color theme="1"/>
        <rFont val="맑은 고딕"/>
        <family val="3"/>
        <charset val="129"/>
        <scheme val="minor"/>
      </rPr>
      <t>disposable</t>
    </r>
    <r>
      <rPr>
        <sz val="11"/>
        <color theme="1"/>
        <rFont val="맑은 고딕"/>
        <family val="3"/>
        <charset val="129"/>
        <scheme val="minor"/>
      </rPr>
      <t xml:space="preserve"> gloves in the lab.</t>
    </r>
    <phoneticPr fontId="1" type="noConversion"/>
  </si>
  <si>
    <r>
      <t xml:space="preserve">Stop making </t>
    </r>
    <r>
      <rPr>
        <b/>
        <sz val="11"/>
        <color theme="1"/>
        <rFont val="맑은 고딕"/>
        <family val="3"/>
        <charset val="129"/>
        <scheme val="minor"/>
      </rPr>
      <t>excuses</t>
    </r>
    <r>
      <rPr>
        <sz val="11"/>
        <color theme="1"/>
        <rFont val="맑은 고딕"/>
        <family val="3"/>
        <charset val="129"/>
        <scheme val="minor"/>
      </rPr>
      <t xml:space="preserve"> and just do it.</t>
    </r>
    <phoneticPr fontId="1" type="noConversion"/>
  </si>
  <si>
    <r>
      <t xml:space="preserve">Children often </t>
    </r>
    <r>
      <rPr>
        <b/>
        <sz val="11"/>
        <color theme="1"/>
        <rFont val="맑은 고딕"/>
        <family val="3"/>
        <charset val="129"/>
        <scheme val="minor"/>
      </rPr>
      <t>imitate</t>
    </r>
    <r>
      <rPr>
        <sz val="11"/>
        <color theme="1"/>
        <rFont val="맑은 고딕"/>
        <family val="3"/>
        <charset val="129"/>
        <scheme val="minor"/>
      </rPr>
      <t xml:space="preserve"> the behavior of their parents.</t>
    </r>
    <phoneticPr fontId="1" type="noConversion"/>
  </si>
  <si>
    <r>
      <t xml:space="preserve">The school decided to </t>
    </r>
    <r>
      <rPr>
        <b/>
        <sz val="11"/>
        <color theme="1"/>
        <rFont val="맑은 고딕"/>
        <family val="3"/>
        <charset val="129"/>
        <scheme val="minor"/>
      </rPr>
      <t>suspend</t>
    </r>
    <r>
      <rPr>
        <sz val="11"/>
        <color theme="1"/>
        <rFont val="맑은 고딕"/>
        <family val="3"/>
        <charset val="129"/>
        <scheme val="minor"/>
      </rPr>
      <t xml:space="preserve"> the student for a week.</t>
    </r>
    <phoneticPr fontId="1" type="noConversion"/>
  </si>
  <si>
    <r>
      <t xml:space="preserve">Smartphone use is </t>
    </r>
    <r>
      <rPr>
        <b/>
        <sz val="11"/>
        <color theme="1"/>
        <rFont val="맑은 고딕"/>
        <family val="3"/>
        <charset val="129"/>
        <scheme val="minor"/>
      </rPr>
      <t>prevalent</t>
    </r>
    <r>
      <rPr>
        <sz val="11"/>
        <color theme="1"/>
        <rFont val="맑은 고딕"/>
        <family val="3"/>
        <charset val="129"/>
        <scheme val="minor"/>
      </rPr>
      <t xml:space="preserve"> among teenagers.</t>
    </r>
    <phoneticPr fontId="1" type="noConversion"/>
  </si>
  <si>
    <t>among</t>
    <phoneticPr fontId="1" type="noConversion"/>
  </si>
  <si>
    <t>~중에</t>
    <phoneticPr fontId="1" type="noConversion"/>
  </si>
  <si>
    <r>
      <t xml:space="preserve">Real estate can be a </t>
    </r>
    <r>
      <rPr>
        <b/>
        <sz val="11"/>
        <color theme="1"/>
        <rFont val="맑은 고딕"/>
        <family val="3"/>
        <charset val="129"/>
        <scheme val="minor"/>
      </rPr>
      <t>lucrative</t>
    </r>
    <r>
      <rPr>
        <sz val="11"/>
        <color theme="1"/>
        <rFont val="맑은 고딕"/>
        <family val="3"/>
        <charset val="129"/>
        <scheme val="minor"/>
      </rPr>
      <t xml:space="preserve"> investment.</t>
    </r>
    <phoneticPr fontId="1" type="noConversion"/>
  </si>
  <si>
    <t>estate</t>
    <phoneticPr fontId="1" type="noConversion"/>
  </si>
  <si>
    <t>자산</t>
    <phoneticPr fontId="1" type="noConversion"/>
  </si>
  <si>
    <r>
      <t xml:space="preserve">The schedule is still </t>
    </r>
    <r>
      <rPr>
        <b/>
        <sz val="11"/>
        <color theme="1"/>
        <rFont val="맑은 고딕"/>
        <family val="3"/>
        <charset val="129"/>
        <scheme val="minor"/>
      </rPr>
      <t>tentative</t>
    </r>
    <r>
      <rPr>
        <sz val="11"/>
        <color theme="1"/>
        <rFont val="맑은 고딕"/>
        <family val="3"/>
        <charset val="129"/>
        <scheme val="minor"/>
      </rPr>
      <t xml:space="preserve"> and may change.</t>
    </r>
    <phoneticPr fontId="1" type="noConversion"/>
  </si>
  <si>
    <r>
      <t xml:space="preserve">He grew up in an </t>
    </r>
    <r>
      <rPr>
        <b/>
        <sz val="11"/>
        <color theme="1"/>
        <rFont val="맑은 고딕"/>
        <family val="3"/>
        <charset val="129"/>
        <scheme val="minor"/>
      </rPr>
      <t>affluent</t>
    </r>
    <r>
      <rPr>
        <sz val="11"/>
        <color theme="1"/>
        <rFont val="맑은 고딕"/>
        <family val="3"/>
        <charset val="129"/>
        <scheme val="minor"/>
      </rPr>
      <t xml:space="preserve"> neighborhood.</t>
    </r>
    <phoneticPr fontId="1" type="noConversion"/>
  </si>
  <si>
    <r>
      <t xml:space="preserve">You should </t>
    </r>
    <r>
      <rPr>
        <b/>
        <sz val="11"/>
        <color theme="1"/>
        <rFont val="맑은 고딕"/>
        <family val="3"/>
        <charset val="129"/>
        <scheme val="minor"/>
      </rPr>
      <t>stick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to</t>
    </r>
    <r>
      <rPr>
        <sz val="11"/>
        <color theme="1"/>
        <rFont val="맑은 고딕"/>
        <family val="3"/>
        <charset val="129"/>
        <scheme val="minor"/>
      </rPr>
      <t xml:space="preserve"> your original plan.</t>
    </r>
    <phoneticPr fontId="1" type="noConversion"/>
  </si>
  <si>
    <r>
      <t xml:space="preserve">Could you </t>
    </r>
    <r>
      <rPr>
        <b/>
        <sz val="11"/>
        <color theme="1"/>
        <rFont val="맑은 고딕"/>
        <family val="3"/>
        <charset val="129"/>
        <scheme val="minor"/>
      </rPr>
      <t>look over</t>
    </r>
    <r>
      <rPr>
        <sz val="11"/>
        <color theme="1"/>
        <rFont val="맑은 고딕"/>
        <family val="3"/>
        <charset val="129"/>
        <scheme val="minor"/>
      </rPr>
      <t xml:space="preserve"> my essay before I submit it?</t>
    </r>
    <phoneticPr fontId="1" type="noConversion"/>
  </si>
  <si>
    <r>
      <t xml:space="preserve">She </t>
    </r>
    <r>
      <rPr>
        <b/>
        <sz val="11"/>
        <color theme="1"/>
        <rFont val="맑은 고딕"/>
        <family val="3"/>
        <charset val="129"/>
        <scheme val="minor"/>
      </rPr>
      <t>takes after</t>
    </r>
    <r>
      <rPr>
        <sz val="11"/>
        <color theme="1"/>
        <rFont val="맑은 고딕"/>
        <family val="3"/>
        <charset val="129"/>
        <scheme val="minor"/>
      </rPr>
      <t xml:space="preserve"> her mother in personality.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</si>
  <si>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monotonous</t>
    </r>
    <r>
      <rPr>
        <sz val="11"/>
        <color theme="1"/>
        <rFont val="맑은 고딕"/>
        <family val="3"/>
        <charset val="129"/>
        <scheme val="minor"/>
      </rPr>
      <t xml:space="preserve"> sound of the machine put him to sleep.</t>
    </r>
    <phoneticPr fontId="1" type="noConversion"/>
  </si>
  <si>
    <r>
      <t xml:space="preserve">His name became </t>
    </r>
    <r>
      <rPr>
        <b/>
        <sz val="11"/>
        <color theme="1"/>
        <rFont val="맑은 고딕"/>
        <family val="3"/>
        <charset val="129"/>
        <scheme val="minor"/>
      </rPr>
      <t>synonymous</t>
    </r>
    <r>
      <rPr>
        <sz val="11"/>
        <color theme="1"/>
        <rFont val="맑은 고딕"/>
        <family val="3"/>
        <charset val="129"/>
        <scheme val="minor"/>
      </rPr>
      <t xml:space="preserve"> with innovation.</t>
    </r>
    <phoneticPr fontId="1" type="noConversion"/>
  </si>
  <si>
    <r>
      <t xml:space="preserve">He gave her a </t>
    </r>
    <r>
      <rPr>
        <b/>
        <sz val="11"/>
        <color theme="1"/>
        <rFont val="맑은 고딕"/>
        <family val="3"/>
        <charset val="129"/>
        <scheme val="minor"/>
      </rPr>
      <t>contemptuous</t>
    </r>
    <r>
      <rPr>
        <sz val="11"/>
        <color theme="1"/>
        <rFont val="맑은 고딕"/>
        <family val="3"/>
        <charset val="129"/>
        <scheme val="minor"/>
      </rPr>
      <t xml:space="preserve"> look and walked away.</t>
    </r>
    <phoneticPr fontId="1" type="noConversion"/>
  </si>
  <si>
    <r>
      <t xml:space="preserve">The garden was </t>
    </r>
    <r>
      <rPr>
        <b/>
        <sz val="11"/>
        <color theme="1"/>
        <rFont val="맑은 고딕"/>
        <family val="3"/>
        <charset val="129"/>
        <scheme val="minor"/>
      </rPr>
      <t>enclosed</t>
    </r>
    <r>
      <rPr>
        <sz val="11"/>
        <color theme="1"/>
        <rFont val="맑은 고딕"/>
        <family val="3"/>
        <charset val="129"/>
        <scheme val="minor"/>
      </rPr>
      <t xml:space="preserve"> by a stone wall.</t>
    </r>
    <phoneticPr fontId="1" type="noConversion"/>
  </si>
  <si>
    <r>
      <t xml:space="preserve">She </t>
    </r>
    <r>
      <rPr>
        <b/>
        <sz val="11"/>
        <color theme="1"/>
        <rFont val="맑은 고딕"/>
        <family val="3"/>
        <charset val="129"/>
        <scheme val="minor"/>
      </rPr>
      <t>immersed</t>
    </r>
    <r>
      <rPr>
        <sz val="11"/>
        <color theme="1"/>
        <rFont val="맑은 고딕"/>
        <family val="3"/>
        <charset val="129"/>
        <scheme val="minor"/>
      </rPr>
      <t xml:space="preserve"> herself </t>
    </r>
    <r>
      <rPr>
        <b/>
        <sz val="11"/>
        <color theme="1"/>
        <rFont val="맑은 고딕"/>
        <family val="3"/>
        <charset val="129"/>
        <scheme val="minor"/>
      </rPr>
      <t>in</t>
    </r>
    <r>
      <rPr>
        <sz val="11"/>
        <color theme="1"/>
        <rFont val="맑은 고딕"/>
        <family val="3"/>
        <charset val="129"/>
        <scheme val="minor"/>
      </rPr>
      <t xml:space="preserve"> studying for the exam.</t>
    </r>
    <phoneticPr fontId="1" type="noConversion"/>
  </si>
  <si>
    <r>
      <t xml:space="preserve">Try to </t>
    </r>
    <r>
      <rPr>
        <b/>
        <sz val="11"/>
        <color theme="1"/>
        <rFont val="맑은 고딕"/>
        <family val="3"/>
        <charset val="129"/>
        <scheme val="minor"/>
      </rPr>
      <t>condense</t>
    </r>
    <r>
      <rPr>
        <sz val="11"/>
        <color theme="1"/>
        <rFont val="맑은 고딕"/>
        <family val="3"/>
        <charset val="129"/>
        <scheme val="minor"/>
      </rPr>
      <t xml:space="preserve"> your report into two pages.</t>
    </r>
    <phoneticPr fontId="1" type="noConversion"/>
  </si>
  <si>
    <r>
      <t xml:space="preserve">The factory has been </t>
    </r>
    <r>
      <rPr>
        <b/>
        <sz val="11"/>
        <color theme="1"/>
        <rFont val="맑은 고딕"/>
        <family val="3"/>
        <charset val="129"/>
        <scheme val="minor"/>
      </rPr>
      <t>defunct</t>
    </r>
    <r>
      <rPr>
        <sz val="11"/>
        <color theme="1"/>
        <rFont val="맑은 고딕"/>
        <family val="3"/>
        <charset val="129"/>
        <scheme val="minor"/>
      </rPr>
      <t xml:space="preserve"> since 2010.</t>
    </r>
    <phoneticPr fontId="1" type="noConversion"/>
  </si>
  <si>
    <r>
      <t xml:space="preserve">His </t>
    </r>
    <r>
      <rPr>
        <b/>
        <sz val="11"/>
        <color theme="1"/>
        <rFont val="맑은 고딕"/>
        <family val="3"/>
        <charset val="129"/>
        <scheme val="minor"/>
      </rPr>
      <t>feckless</t>
    </r>
    <r>
      <rPr>
        <sz val="11"/>
        <color theme="1"/>
        <rFont val="맑은 고딕"/>
        <family val="3"/>
        <charset val="129"/>
        <scheme val="minor"/>
      </rPr>
      <t xml:space="preserve"> attitude cost him the promotion.</t>
    </r>
    <phoneticPr fontId="1" type="noConversion"/>
  </si>
  <si>
    <r>
      <t xml:space="preserve">Bad weather </t>
    </r>
    <r>
      <rPr>
        <b/>
        <sz val="11"/>
        <color theme="1"/>
        <rFont val="맑은 고딕"/>
        <family val="3"/>
        <charset val="129"/>
        <scheme val="minor"/>
      </rPr>
      <t>thwarted</t>
    </r>
    <r>
      <rPr>
        <sz val="11"/>
        <color theme="1"/>
        <rFont val="맑은 고딕"/>
        <family val="3"/>
        <charset val="129"/>
        <scheme val="minor"/>
      </rPr>
      <t xml:space="preserve"> our travel plans.</t>
    </r>
    <phoneticPr fontId="1" type="noConversion"/>
  </si>
  <si>
    <r>
      <t xml:space="preserve">The public humiliation </t>
    </r>
    <r>
      <rPr>
        <b/>
        <sz val="11"/>
        <color theme="1"/>
        <rFont val="맑은 고딕"/>
        <family val="3"/>
        <charset val="129"/>
        <scheme val="minor"/>
      </rPr>
      <t>mortified</t>
    </r>
    <r>
      <rPr>
        <sz val="11"/>
        <color theme="1"/>
        <rFont val="맑은 고딕"/>
        <family val="3"/>
        <charset val="129"/>
        <scheme val="minor"/>
      </rPr>
      <t xml:space="preserve"> him deeply.</t>
    </r>
    <phoneticPr fontId="1" type="noConversion"/>
  </si>
  <si>
    <t>humiliation</t>
    <phoneticPr fontId="1" type="noConversion"/>
  </si>
  <si>
    <t>굴욕, 창피를 주기</t>
    <phoneticPr fontId="1" type="noConversion"/>
  </si>
  <si>
    <r>
      <t xml:space="preserve">Commuters </t>
    </r>
    <r>
      <rPr>
        <b/>
        <sz val="11"/>
        <color theme="1"/>
        <rFont val="맑은 고딕"/>
        <family val="3"/>
        <charset val="129"/>
        <scheme val="minor"/>
      </rPr>
      <t>jostled</t>
    </r>
    <r>
      <rPr>
        <sz val="11"/>
        <color theme="1"/>
        <rFont val="맑은 고딕"/>
        <family val="3"/>
        <charset val="129"/>
        <scheme val="minor"/>
      </rPr>
      <t xml:space="preserve"> each other on the crowded train.</t>
    </r>
    <phoneticPr fontId="1" type="noConversion"/>
  </si>
  <si>
    <r>
      <t xml:space="preserve">The small village </t>
    </r>
    <r>
      <rPr>
        <b/>
        <sz val="11"/>
        <color theme="1"/>
        <rFont val="맑은 고딕"/>
        <family val="3"/>
        <charset val="129"/>
        <scheme val="minor"/>
      </rPr>
      <t>nestles</t>
    </r>
    <r>
      <rPr>
        <sz val="11"/>
        <color theme="1"/>
        <rFont val="맑은 고딕"/>
        <family val="3"/>
        <charset val="129"/>
        <scheme val="minor"/>
      </rPr>
      <t xml:space="preserve"> in the valley.</t>
    </r>
    <phoneticPr fontId="1" type="noConversion"/>
  </si>
  <si>
    <r>
      <t xml:space="preserve">Someone </t>
    </r>
    <r>
      <rPr>
        <b/>
        <sz val="11"/>
        <color theme="1"/>
        <rFont val="맑은 고딕"/>
        <family val="3"/>
        <charset val="129"/>
        <scheme val="minor"/>
      </rPr>
      <t>smeared</t>
    </r>
    <r>
      <rPr>
        <sz val="11"/>
        <color theme="1"/>
        <rFont val="맑은 고딕"/>
        <family val="3"/>
        <charset val="129"/>
        <scheme val="minor"/>
      </rPr>
      <t xml:space="preserve"> paint all over the wall.</t>
    </r>
    <phoneticPr fontId="1" type="noConversion"/>
  </si>
  <si>
    <r>
      <t xml:space="preserve">The general </t>
    </r>
    <r>
      <rPr>
        <b/>
        <sz val="11"/>
        <color theme="1"/>
        <rFont val="맑은 고딕"/>
        <family val="3"/>
        <charset val="129"/>
        <scheme val="minor"/>
      </rPr>
      <t>mustered</t>
    </r>
    <r>
      <rPr>
        <sz val="11"/>
        <color theme="1"/>
        <rFont val="맑은 고딕"/>
        <family val="3"/>
        <charset val="129"/>
        <scheme val="minor"/>
      </rPr>
      <t xml:space="preserve"> his troops for battle.</t>
    </r>
    <phoneticPr fontId="1" type="noConversion"/>
  </si>
  <si>
    <r>
      <t xml:space="preserve">The museum </t>
    </r>
    <r>
      <rPr>
        <b/>
        <sz val="11"/>
        <color theme="1"/>
        <rFont val="맑은 고딕"/>
        <family val="3"/>
        <charset val="129"/>
        <scheme val="minor"/>
      </rPr>
      <t>displays</t>
    </r>
    <r>
      <rPr>
        <sz val="11"/>
        <color theme="1"/>
        <rFont val="맑은 고딕"/>
        <family val="3"/>
        <charset val="129"/>
        <scheme val="minor"/>
      </rPr>
      <t xml:space="preserve"> artwork from the 18th century.</t>
    </r>
    <phoneticPr fontId="1" type="noConversion"/>
  </si>
  <si>
    <r>
      <t xml:space="preserve">The report </t>
    </r>
    <r>
      <rPr>
        <b/>
        <sz val="11"/>
        <color theme="1"/>
        <rFont val="맑은 고딕"/>
        <family val="3"/>
        <charset val="129"/>
        <scheme val="minor"/>
      </rPr>
      <t>exposed</t>
    </r>
    <r>
      <rPr>
        <sz val="11"/>
        <color theme="1"/>
        <rFont val="맑은 고딕"/>
        <family val="3"/>
        <charset val="129"/>
        <scheme val="minor"/>
      </rPr>
      <t xml:space="preserve"> the corruption within the company.</t>
    </r>
    <phoneticPr fontId="1" type="noConversion"/>
  </si>
  <si>
    <r>
      <t xml:space="preserve">The government </t>
    </r>
    <r>
      <rPr>
        <b/>
        <sz val="11"/>
        <color theme="1"/>
        <rFont val="맑은 고딕"/>
        <family val="3"/>
        <charset val="129"/>
        <scheme val="minor"/>
      </rPr>
      <t>issued</t>
    </r>
    <r>
      <rPr>
        <sz val="11"/>
        <color theme="1"/>
        <rFont val="맑은 고딕"/>
        <family val="3"/>
        <charset val="129"/>
        <scheme val="minor"/>
      </rPr>
      <t xml:space="preserve"> new passports last month.</t>
    </r>
    <phoneticPr fontId="1" type="noConversion"/>
  </si>
  <si>
    <r>
      <t xml:space="preserve">The team is </t>
    </r>
    <r>
      <rPr>
        <b/>
        <sz val="11"/>
        <color theme="1"/>
        <rFont val="맑은 고딕"/>
        <family val="3"/>
        <charset val="129"/>
        <scheme val="minor"/>
      </rPr>
      <t>composed</t>
    </r>
    <r>
      <rPr>
        <sz val="11"/>
        <color theme="1"/>
        <rFont val="맑은 고딕"/>
        <family val="3"/>
        <charset val="129"/>
        <scheme val="minor"/>
      </rPr>
      <t xml:space="preserve"> of experts from various fields.</t>
    </r>
    <phoneticPr fontId="1" type="noConversion"/>
  </si>
  <si>
    <r>
      <t xml:space="preserve">You need to </t>
    </r>
    <r>
      <rPr>
        <b/>
        <sz val="11"/>
        <color theme="1"/>
        <rFont val="맑은 고딕"/>
        <family val="3"/>
        <charset val="129"/>
        <scheme val="minor"/>
      </rPr>
      <t>adjust</t>
    </r>
    <r>
      <rPr>
        <sz val="11"/>
        <color theme="1"/>
        <rFont val="맑은 고딕"/>
        <family val="3"/>
        <charset val="129"/>
        <scheme val="minor"/>
      </rPr>
      <t xml:space="preserve"> your schedule to fit the meeting.</t>
    </r>
    <phoneticPr fontId="1" type="noConversion"/>
  </si>
  <si>
    <r>
      <t xml:space="preserve">We need to </t>
    </r>
    <r>
      <rPr>
        <b/>
        <sz val="11"/>
        <color theme="1"/>
        <rFont val="맑은 고딕"/>
        <family val="3"/>
        <charset val="129"/>
        <scheme val="minor"/>
      </rPr>
      <t>modify</t>
    </r>
    <r>
      <rPr>
        <sz val="11"/>
        <color theme="1"/>
        <rFont val="맑은 고딕"/>
        <family val="3"/>
        <charset val="129"/>
        <scheme val="minor"/>
      </rPr>
      <t xml:space="preserve"> the design before production.</t>
    </r>
    <phoneticPr fontId="1" type="noConversion"/>
  </si>
  <si>
    <t>수정하다, 변경하다</t>
    <phoneticPr fontId="1" type="noConversion"/>
  </si>
  <si>
    <r>
      <t xml:space="preserve">The satellite </t>
    </r>
    <r>
      <rPr>
        <b/>
        <sz val="11"/>
        <color theme="1"/>
        <rFont val="맑은 고딕"/>
        <family val="3"/>
        <charset val="129"/>
        <scheme val="minor"/>
      </rPr>
      <t>transmits</t>
    </r>
    <r>
      <rPr>
        <sz val="11"/>
        <color theme="1"/>
        <rFont val="맑은 고딕"/>
        <family val="3"/>
        <charset val="129"/>
        <scheme val="minor"/>
      </rPr>
      <t xml:space="preserve"> data back to Earth.</t>
    </r>
    <phoneticPr fontId="1" type="noConversion"/>
  </si>
  <si>
    <r>
      <t xml:space="preserve">The cat made a sudden </t>
    </r>
    <r>
      <rPr>
        <b/>
        <sz val="11"/>
        <color theme="1"/>
        <rFont val="맑은 고딕"/>
        <family val="3"/>
        <charset val="129"/>
        <scheme val="minor"/>
      </rPr>
      <t>leap</t>
    </r>
    <r>
      <rPr>
        <sz val="11"/>
        <color theme="1"/>
        <rFont val="맑은 고딕"/>
        <family val="3"/>
        <charset val="129"/>
        <scheme val="minor"/>
      </rPr>
      <t xml:space="preserve"> onto the table.</t>
    </r>
    <phoneticPr fontId="1" type="noConversion"/>
  </si>
  <si>
    <r>
      <t xml:space="preserve">Lightning </t>
    </r>
    <r>
      <rPr>
        <b/>
        <sz val="11"/>
        <color theme="1"/>
        <rFont val="맑은 고딕"/>
        <family val="3"/>
        <charset val="129"/>
        <scheme val="minor"/>
      </rPr>
      <t>struck</t>
    </r>
    <r>
      <rPr>
        <sz val="11"/>
        <color theme="1"/>
        <rFont val="맑은 고딕"/>
        <family val="3"/>
        <charset val="129"/>
        <scheme val="minor"/>
      </rPr>
      <t xml:space="preserve"> the old tree in the yard.</t>
    </r>
    <phoneticPr fontId="1" type="noConversion"/>
  </si>
  <si>
    <r>
      <t xml:space="preserve">Good teachers </t>
    </r>
    <r>
      <rPr>
        <b/>
        <sz val="11"/>
        <color theme="1"/>
        <rFont val="맑은 고딕"/>
        <family val="3"/>
        <charset val="129"/>
        <scheme val="minor"/>
      </rPr>
      <t>instill</t>
    </r>
    <r>
      <rPr>
        <sz val="11"/>
        <color theme="1"/>
        <rFont val="맑은 고딕"/>
        <family val="3"/>
        <charset val="129"/>
        <scheme val="minor"/>
      </rPr>
      <t xml:space="preserve"> a love of learning in students.</t>
    </r>
    <phoneticPr fontId="1" type="noConversion"/>
  </si>
  <si>
    <r>
      <t xml:space="preserve">Reckless driving can </t>
    </r>
    <r>
      <rPr>
        <b/>
        <sz val="11"/>
        <color theme="1"/>
        <rFont val="맑은 고딕"/>
        <family val="3"/>
        <charset val="129"/>
        <scheme val="minor"/>
      </rPr>
      <t>jeopardize</t>
    </r>
    <r>
      <rPr>
        <sz val="11"/>
        <color theme="1"/>
        <rFont val="맑은 고딕"/>
        <family val="3"/>
        <charset val="129"/>
        <scheme val="minor"/>
      </rPr>
      <t xml:space="preserve"> the safety of others.</t>
    </r>
    <phoneticPr fontId="1" type="noConversion"/>
  </si>
  <si>
    <r>
      <t xml:space="preserve">The rebels tried to </t>
    </r>
    <r>
      <rPr>
        <b/>
        <sz val="11"/>
        <color theme="1"/>
        <rFont val="맑은 고딕"/>
        <family val="3"/>
        <charset val="129"/>
        <scheme val="minor"/>
      </rPr>
      <t>overthrow</t>
    </r>
    <r>
      <rPr>
        <sz val="11"/>
        <color theme="1"/>
        <rFont val="맑은 고딕"/>
        <family val="3"/>
        <charset val="129"/>
        <scheme val="minor"/>
      </rPr>
      <t xml:space="preserve"> the government.</t>
    </r>
    <phoneticPr fontId="1" type="noConversion"/>
  </si>
  <si>
    <r>
      <t xml:space="preserve">Thousands of people joined the </t>
    </r>
    <r>
      <rPr>
        <b/>
        <sz val="11"/>
        <color theme="1"/>
        <rFont val="맑은 고딕"/>
        <family val="3"/>
        <charset val="129"/>
        <scheme val="minor"/>
      </rPr>
      <t>protest</t>
    </r>
    <r>
      <rPr>
        <sz val="11"/>
        <color theme="1"/>
        <rFont val="맑은 고딕"/>
        <family val="3"/>
        <charset val="129"/>
        <scheme val="minor"/>
      </rPr>
      <t xml:space="preserve"> downtown.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</si>
  <si>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corrupt</t>
    </r>
    <r>
      <rPr>
        <sz val="11"/>
        <color theme="1"/>
        <rFont val="맑은 고딕"/>
        <family val="3"/>
        <charset val="129"/>
        <scheme val="minor"/>
      </rPr>
      <t xml:space="preserve"> official was arrested for taking bribes.</t>
    </r>
    <phoneticPr fontId="1" type="noConversion"/>
  </si>
  <si>
    <t>bribe</t>
    <phoneticPr fontId="1" type="noConversion"/>
  </si>
  <si>
    <t>뇌물을 주다, 매수하다</t>
    <phoneticPr fontId="1" type="noConversion"/>
  </si>
  <si>
    <r>
      <t xml:space="preserve">The country suffered under a military </t>
    </r>
    <r>
      <rPr>
        <b/>
        <sz val="11"/>
        <color theme="1"/>
        <rFont val="맑은 고딕"/>
        <family val="3"/>
        <charset val="129"/>
        <scheme val="minor"/>
      </rPr>
      <t>dictatorship</t>
    </r>
    <r>
      <rPr>
        <sz val="11"/>
        <color theme="1"/>
        <rFont val="맑은 고딕"/>
        <family val="3"/>
        <charset val="129"/>
        <scheme val="minor"/>
      </rPr>
      <t xml:space="preserve"> for decades.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</si>
  <si>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bulky</t>
    </r>
    <r>
      <rPr>
        <sz val="11"/>
        <color theme="1"/>
        <rFont val="맑은 고딕"/>
        <family val="3"/>
        <charset val="129"/>
        <scheme val="minor"/>
      </rPr>
      <t xml:space="preserve"> furniture was hard to move through the door.</t>
    </r>
    <phoneticPr fontId="1" type="noConversion"/>
  </si>
  <si>
    <r>
      <t xml:space="preserve">A </t>
    </r>
    <r>
      <rPr>
        <b/>
        <sz val="11"/>
        <color theme="1"/>
        <rFont val="맑은 고딕"/>
        <family val="3"/>
        <charset val="129"/>
        <scheme val="minor"/>
      </rPr>
      <t>nimble</t>
    </r>
    <r>
      <rPr>
        <sz val="11"/>
        <color theme="1"/>
        <rFont val="맑은 고딕"/>
        <family val="3"/>
        <charset val="129"/>
        <scheme val="minor"/>
      </rPr>
      <t xml:space="preserve"> gymnast can perform incredible flips.</t>
    </r>
    <phoneticPr fontId="1" type="noConversion"/>
  </si>
  <si>
    <t>gymnast</t>
    <phoneticPr fontId="1" type="noConversion"/>
  </si>
  <si>
    <t>체조 선수</t>
    <phoneticPr fontId="1" type="noConversion"/>
  </si>
  <si>
    <t>flip</t>
    <phoneticPr fontId="1" type="noConversion"/>
  </si>
  <si>
    <t>뒤집다</t>
    <phoneticPr fontId="1" type="noConversion"/>
  </si>
  <si>
    <r>
      <t xml:space="preserve">The job requires more </t>
    </r>
    <r>
      <rPr>
        <b/>
        <sz val="11"/>
        <color theme="1"/>
        <rFont val="맑은 고딕"/>
        <family val="3"/>
        <charset val="129"/>
        <scheme val="minor"/>
      </rPr>
      <t>brawn</t>
    </r>
    <r>
      <rPr>
        <sz val="11"/>
        <color theme="1"/>
        <rFont val="맑은 고딕"/>
        <family val="3"/>
        <charset val="129"/>
        <scheme val="minor"/>
      </rPr>
      <t xml:space="preserve"> than brains.</t>
    </r>
    <phoneticPr fontId="1" type="noConversion"/>
  </si>
  <si>
    <r>
      <t xml:space="preserve">A fallen tree </t>
    </r>
    <r>
      <rPr>
        <b/>
        <sz val="11"/>
        <color theme="1"/>
        <rFont val="맑은 고딕"/>
        <family val="3"/>
        <charset val="129"/>
        <scheme val="minor"/>
      </rPr>
      <t>obstructed</t>
    </r>
    <r>
      <rPr>
        <sz val="11"/>
        <color theme="1"/>
        <rFont val="맑은 고딕"/>
        <family val="3"/>
        <charset val="129"/>
        <scheme val="minor"/>
      </rPr>
      <t xml:space="preserve"> the road after the storm.</t>
    </r>
    <phoneticPr fontId="1" type="noConversion"/>
  </si>
  <si>
    <r>
      <t xml:space="preserve">Traffic flowed </t>
    </r>
    <r>
      <rPr>
        <b/>
        <sz val="11"/>
        <color theme="1"/>
        <rFont val="맑은 고딕"/>
        <family val="3"/>
        <charset val="129"/>
        <scheme val="minor"/>
      </rPr>
      <t>unimpeded</t>
    </r>
    <r>
      <rPr>
        <sz val="11"/>
        <color theme="1"/>
        <rFont val="맑은 고딕"/>
        <family val="3"/>
        <charset val="129"/>
        <scheme val="minor"/>
      </rPr>
      <t xml:space="preserve"> after the roadblock was removed.</t>
    </r>
    <phoneticPr fontId="1" type="noConversion"/>
  </si>
  <si>
    <r>
      <t xml:space="preserve">The constant delays </t>
    </r>
    <r>
      <rPr>
        <b/>
        <sz val="11"/>
        <color theme="1"/>
        <rFont val="맑은 고딕"/>
        <family val="3"/>
        <charset val="129"/>
        <scheme val="minor"/>
      </rPr>
      <t>exasperated</t>
    </r>
    <r>
      <rPr>
        <sz val="11"/>
        <color theme="1"/>
        <rFont val="맑은 고딕"/>
        <family val="3"/>
        <charset val="129"/>
        <scheme val="minor"/>
      </rPr>
      <t xml:space="preserve"> the passengers.</t>
    </r>
    <phoneticPr fontId="1" type="noConversion"/>
  </si>
  <si>
    <r>
      <t xml:space="preserve">His rude comments </t>
    </r>
    <r>
      <rPr>
        <b/>
        <sz val="11"/>
        <color theme="1"/>
        <rFont val="맑은 고딕"/>
        <family val="3"/>
        <charset val="129"/>
        <scheme val="minor"/>
      </rPr>
      <t>antagonized</t>
    </r>
    <r>
      <rPr>
        <sz val="11"/>
        <color theme="1"/>
        <rFont val="맑은 고딕"/>
        <family val="3"/>
        <charset val="129"/>
        <scheme val="minor"/>
      </rPr>
      <t xml:space="preserve"> everyone in the room.</t>
    </r>
    <phoneticPr fontId="1" type="noConversion"/>
  </si>
  <si>
    <r>
      <t xml:space="preserve">The two nations signed a peace </t>
    </r>
    <r>
      <rPr>
        <b/>
        <sz val="11"/>
        <color theme="1"/>
        <rFont val="맑은 고딕"/>
        <family val="3"/>
        <charset val="129"/>
        <scheme val="minor"/>
      </rPr>
      <t>treaty</t>
    </r>
    <r>
      <rPr>
        <sz val="11"/>
        <color theme="1"/>
        <rFont val="맑은 고딕"/>
        <family val="3"/>
        <charset val="129"/>
        <scheme val="minor"/>
      </rPr>
      <t>.</t>
    </r>
    <phoneticPr fontId="1" type="noConversion"/>
  </si>
  <si>
    <r>
      <t xml:space="preserve">The city </t>
    </r>
    <r>
      <rPr>
        <b/>
        <sz val="11"/>
        <color theme="1"/>
        <rFont val="맑은 고딕"/>
        <family val="3"/>
        <charset val="129"/>
        <scheme val="minor"/>
      </rPr>
      <t>charter</t>
    </r>
    <r>
      <rPr>
        <sz val="11"/>
        <color theme="1"/>
        <rFont val="맑은 고딕"/>
        <family val="3"/>
        <charset val="129"/>
        <scheme val="minor"/>
      </rPr>
      <t xml:space="preserve"> outlines the rights of its citizens.</t>
    </r>
    <phoneticPr fontId="1" type="noConversion"/>
  </si>
  <si>
    <r>
      <t xml:space="preserve">He was arrested on </t>
    </r>
    <r>
      <rPr>
        <b/>
        <sz val="11"/>
        <color theme="1"/>
        <rFont val="맑은 고딕"/>
        <family val="3"/>
        <charset val="129"/>
        <scheme val="minor"/>
      </rPr>
      <t>suspicion</t>
    </r>
    <r>
      <rPr>
        <sz val="11"/>
        <color theme="1"/>
        <rFont val="맑은 고딕"/>
        <family val="3"/>
        <charset val="129"/>
        <scheme val="minor"/>
      </rPr>
      <t xml:space="preserve"> of theft.</t>
    </r>
    <phoneticPr fontId="1" type="noConversion"/>
  </si>
  <si>
    <t>중복 체크</t>
  </si>
  <si>
    <r>
      <t xml:space="preserve">They attempted to </t>
    </r>
    <r>
      <rPr>
        <b/>
        <sz val="11"/>
        <color theme="1"/>
        <rFont val="맑은 고딕"/>
        <family val="3"/>
        <charset val="129"/>
        <scheme val="minor"/>
      </rPr>
      <t>smuggle</t>
    </r>
    <r>
      <rPr>
        <sz val="11"/>
        <color theme="1"/>
        <rFont val="맑은 고딕"/>
        <family val="3"/>
        <charset val="129"/>
        <scheme val="minor"/>
      </rPr>
      <t xml:space="preserve"> drugs across the border.</t>
    </r>
    <phoneticPr fontId="1" type="noConversion"/>
  </si>
  <si>
    <r>
      <t xml:space="preserve">Police </t>
    </r>
    <r>
      <rPr>
        <b/>
        <sz val="11"/>
        <color theme="1"/>
        <rFont val="맑은 고딕"/>
        <family val="3"/>
        <charset val="129"/>
        <scheme val="minor"/>
      </rPr>
      <t>detained</t>
    </r>
    <r>
      <rPr>
        <sz val="11"/>
        <color theme="1"/>
        <rFont val="맑은 고딕"/>
        <family val="3"/>
        <charset val="129"/>
        <scheme val="minor"/>
      </rPr>
      <t xml:space="preserve"> the suspect for questioning.</t>
    </r>
    <phoneticPr fontId="1" type="noConversion"/>
  </si>
  <si>
    <r>
      <t xml:space="preserve">Lack of sleep can </t>
    </r>
    <r>
      <rPr>
        <b/>
        <sz val="11"/>
        <color theme="1"/>
        <rFont val="맑은 고딕"/>
        <family val="3"/>
        <charset val="129"/>
        <scheme val="minor"/>
      </rPr>
      <t>impair</t>
    </r>
    <r>
      <rPr>
        <sz val="11"/>
        <color theme="1"/>
        <rFont val="맑은 고딕"/>
        <family val="3"/>
        <charset val="129"/>
        <scheme val="minor"/>
      </rPr>
      <t xml:space="preserve"> your judgment.</t>
    </r>
    <phoneticPr fontId="1" type="noConversion"/>
  </si>
  <si>
    <r>
      <t xml:space="preserve">Dentists use special tools to </t>
    </r>
    <r>
      <rPr>
        <b/>
        <sz val="11"/>
        <color theme="1"/>
        <rFont val="맑은 고딕"/>
        <family val="3"/>
        <charset val="129"/>
        <scheme val="minor"/>
      </rPr>
      <t>extract</t>
    </r>
    <r>
      <rPr>
        <sz val="11"/>
        <color theme="1"/>
        <rFont val="맑은 고딕"/>
        <family val="3"/>
        <charset val="129"/>
        <scheme val="minor"/>
      </rPr>
      <t xml:space="preserve"> teeth.</t>
    </r>
    <phoneticPr fontId="1" type="noConversion"/>
  </si>
  <si>
    <r>
      <t xml:space="preserve">The power outage </t>
    </r>
    <r>
      <rPr>
        <b/>
        <sz val="11"/>
        <color theme="1"/>
        <rFont val="맑은 고딕"/>
        <family val="3"/>
        <charset val="129"/>
        <scheme val="minor"/>
      </rPr>
      <t>disrupted</t>
    </r>
    <r>
      <rPr>
        <sz val="11"/>
        <color theme="1"/>
        <rFont val="맑은 고딕"/>
        <family val="3"/>
        <charset val="129"/>
        <scheme val="minor"/>
      </rPr>
      <t xml:space="preserve"> the entire city.</t>
    </r>
    <phoneticPr fontId="1" type="noConversion"/>
  </si>
  <si>
    <t>outage</t>
    <phoneticPr fontId="1" type="noConversion"/>
  </si>
  <si>
    <t>정전</t>
    <phoneticPr fontId="1" type="noConversion"/>
  </si>
  <si>
    <r>
      <t xml:space="preserve">She refused to </t>
    </r>
    <r>
      <rPr>
        <b/>
        <sz val="11"/>
        <color theme="1"/>
        <rFont val="맑은 고딕"/>
        <family val="3"/>
        <charset val="129"/>
        <scheme val="minor"/>
      </rPr>
      <t>divulge</t>
    </r>
    <r>
      <rPr>
        <sz val="11"/>
        <color theme="1"/>
        <rFont val="맑은 고딕"/>
        <family val="3"/>
        <charset val="129"/>
        <scheme val="minor"/>
      </rPr>
      <t xml:space="preserve"> the source of her information.</t>
    </r>
    <phoneticPr fontId="1" type="noConversion"/>
  </si>
  <si>
    <r>
      <t xml:space="preserve">Fear can </t>
    </r>
    <r>
      <rPr>
        <b/>
        <sz val="11"/>
        <color theme="1"/>
        <rFont val="맑은 고딕"/>
        <family val="3"/>
        <charset val="129"/>
        <scheme val="minor"/>
      </rPr>
      <t>inhibit</t>
    </r>
    <r>
      <rPr>
        <sz val="11"/>
        <color theme="1"/>
        <rFont val="맑은 고딕"/>
        <family val="3"/>
        <charset val="129"/>
        <scheme val="minor"/>
      </rPr>
      <t xml:space="preserve"> a person's ability to take action.</t>
    </r>
    <phoneticPr fontId="1" type="noConversion"/>
  </si>
  <si>
    <t>refuse</t>
    <phoneticPr fontId="1" type="noConversion"/>
  </si>
  <si>
    <t>거부하다, 거절하다</t>
    <phoneticPr fontId="1" type="noConversion"/>
  </si>
  <si>
    <r>
      <t xml:space="preserve">The Grand Canyon filled us with </t>
    </r>
    <r>
      <rPr>
        <b/>
        <sz val="11"/>
        <color theme="1"/>
        <rFont val="맑은 고딕"/>
        <family val="3"/>
        <charset val="129"/>
        <scheme val="minor"/>
      </rPr>
      <t>awe</t>
    </r>
    <r>
      <rPr>
        <sz val="11"/>
        <color theme="1"/>
        <rFont val="맑은 고딕"/>
        <family val="3"/>
        <charset val="129"/>
        <scheme val="minor"/>
      </rPr>
      <t>.</t>
    </r>
    <phoneticPr fontId="1" type="noConversion"/>
  </si>
  <si>
    <r>
      <t xml:space="preserve">Don't </t>
    </r>
    <r>
      <rPr>
        <b/>
        <sz val="11"/>
        <color theme="1"/>
        <rFont val="맑은 고딕"/>
        <family val="3"/>
        <charset val="129"/>
        <scheme val="minor"/>
      </rPr>
      <t>poke</t>
    </r>
    <r>
      <rPr>
        <sz val="11"/>
        <color theme="1"/>
        <rFont val="맑은 고딕"/>
        <family val="3"/>
        <charset val="129"/>
        <scheme val="minor"/>
      </rPr>
      <t xml:space="preserve"> the bear — it's dangerous.</t>
    </r>
    <phoneticPr fontId="1" type="noConversion"/>
  </si>
  <si>
    <r>
      <t xml:space="preserve">He </t>
    </r>
    <r>
      <rPr>
        <b/>
        <sz val="11"/>
        <color theme="1"/>
        <rFont val="맑은 고딕"/>
        <family val="3"/>
        <charset val="129"/>
        <scheme val="minor"/>
      </rPr>
      <t>vowed</t>
    </r>
    <r>
      <rPr>
        <sz val="11"/>
        <color theme="1"/>
        <rFont val="맑은 고딕"/>
        <family val="3"/>
        <charset val="129"/>
        <scheme val="minor"/>
      </rPr>
      <t xml:space="preserve"> to never make the same mistake again.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</si>
  <si>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Onlookers</t>
    </r>
    <r>
      <rPr>
        <sz val="11"/>
        <color theme="1"/>
        <rFont val="맑은 고딕"/>
        <family val="3"/>
        <charset val="129"/>
        <scheme val="minor"/>
      </rPr>
      <t xml:space="preserve"> gathered around the street performer.</t>
    </r>
    <phoneticPr fontId="1" type="noConversion"/>
  </si>
  <si>
    <r>
      <t xml:space="preserve">The doctor prescribed an </t>
    </r>
    <r>
      <rPr>
        <b/>
        <sz val="11"/>
        <color theme="1"/>
        <rFont val="맑은 고딕"/>
        <family val="3"/>
        <charset val="129"/>
        <scheme val="minor"/>
      </rPr>
      <t>antibiotic</t>
    </r>
    <r>
      <rPr>
        <sz val="11"/>
        <color theme="1"/>
        <rFont val="맑은 고딕"/>
        <family val="3"/>
        <charset val="129"/>
        <scheme val="minor"/>
      </rPr>
      <t xml:space="preserve"> for the infection.</t>
    </r>
    <phoneticPr fontId="1" type="noConversion"/>
  </si>
  <si>
    <t>prescribe</t>
    <phoneticPr fontId="1" type="noConversion"/>
  </si>
  <si>
    <t>처방하다</t>
    <phoneticPr fontId="1" type="noConversion"/>
  </si>
  <si>
    <r>
      <t xml:space="preserve">New evidence could </t>
    </r>
    <r>
      <rPr>
        <b/>
        <sz val="11"/>
        <color theme="1"/>
        <rFont val="맑은 고딕"/>
        <family val="3"/>
        <charset val="129"/>
        <scheme val="minor"/>
      </rPr>
      <t>invalidate</t>
    </r>
    <r>
      <rPr>
        <sz val="11"/>
        <color theme="1"/>
        <rFont val="맑은 고딕"/>
        <family val="3"/>
        <charset val="129"/>
        <scheme val="minor"/>
      </rPr>
      <t xml:space="preserve"> the previous ruling.</t>
    </r>
    <phoneticPr fontId="1" type="noConversion"/>
  </si>
  <si>
    <r>
      <t xml:space="preserve">The army </t>
    </r>
    <r>
      <rPr>
        <b/>
        <sz val="11"/>
        <color theme="1"/>
        <rFont val="맑은 고딕"/>
        <family val="3"/>
        <charset val="129"/>
        <scheme val="minor"/>
      </rPr>
      <t>vanquished</t>
    </r>
    <r>
      <rPr>
        <sz val="11"/>
        <color theme="1"/>
        <rFont val="맑은 고딕"/>
        <family val="3"/>
        <charset val="129"/>
        <scheme val="minor"/>
      </rPr>
      <t xml:space="preserve"> the enemy in a decisive battle.</t>
    </r>
    <phoneticPr fontId="1" type="noConversion"/>
  </si>
  <si>
    <t>decisive</t>
    <phoneticPr fontId="1" type="noConversion"/>
  </si>
  <si>
    <t>결정적인, 단호한</t>
    <phoneticPr fontId="1" type="noConversion"/>
  </si>
  <si>
    <r>
      <t xml:space="preserve">He </t>
    </r>
    <r>
      <rPr>
        <b/>
        <sz val="11"/>
        <color theme="1"/>
        <rFont val="맑은 고딕"/>
        <family val="3"/>
        <charset val="129"/>
        <scheme val="minor"/>
      </rPr>
      <t>squandered</t>
    </r>
    <r>
      <rPr>
        <sz val="11"/>
        <color theme="1"/>
        <rFont val="맑은 고딕"/>
        <family val="3"/>
        <charset val="129"/>
        <scheme val="minor"/>
      </rPr>
      <t xml:space="preserve"> his entire savings on gambling.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</si>
  <si>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Filial</t>
    </r>
    <r>
      <rPr>
        <sz val="11"/>
        <color theme="1"/>
        <rFont val="맑은 고딕"/>
        <family val="3"/>
        <charset val="129"/>
        <scheme val="minor"/>
      </rPr>
      <t xml:space="preserve"> duty is highly valued in Korean culture.</t>
    </r>
    <phoneticPr fontId="1" type="noConversion"/>
  </si>
  <si>
    <r>
      <t xml:space="preserve">She is a </t>
    </r>
    <r>
      <rPr>
        <b/>
        <sz val="11"/>
        <color theme="1"/>
        <rFont val="맑은 고딕"/>
        <family val="3"/>
        <charset val="129"/>
        <scheme val="minor"/>
      </rPr>
      <t>pious</t>
    </r>
    <r>
      <rPr>
        <sz val="11"/>
        <color theme="1"/>
        <rFont val="맑은 고딕"/>
        <family val="3"/>
        <charset val="129"/>
        <scheme val="minor"/>
      </rPr>
      <t xml:space="preserve"> woman who prays every morning.</t>
    </r>
    <phoneticPr fontId="1" type="noConversion"/>
  </si>
  <si>
    <t>dependable</t>
    <phoneticPr fontId="1" type="noConversion"/>
  </si>
  <si>
    <t>신뢰할 수 있는</t>
    <phoneticPr fontId="1" type="noConversion"/>
  </si>
  <si>
    <t>dependent</t>
    <phoneticPr fontId="1" type="noConversion"/>
  </si>
  <si>
    <t>의존하는</t>
    <phoneticPr fontId="1" type="noConversion"/>
  </si>
  <si>
    <t>confident</t>
    <phoneticPr fontId="1" type="noConversion"/>
  </si>
  <si>
    <t>confidential</t>
    <phoneticPr fontId="1" type="noConversion"/>
  </si>
  <si>
    <t>자신 있는, 확신하는</t>
    <phoneticPr fontId="1" type="noConversion"/>
  </si>
  <si>
    <t>비밀의, 기밀의</t>
    <phoneticPr fontId="1" type="noConversion"/>
  </si>
  <si>
    <t>considerate</t>
    <phoneticPr fontId="1" type="noConversion"/>
  </si>
  <si>
    <t>considerable</t>
    <phoneticPr fontId="1" type="noConversion"/>
  </si>
  <si>
    <t>배려하는</t>
    <phoneticPr fontId="1" type="noConversion"/>
  </si>
  <si>
    <t>상당한, 꽤</t>
    <phoneticPr fontId="1" type="noConversion"/>
  </si>
  <si>
    <t>favorable</t>
    <phoneticPr fontId="1" type="noConversion"/>
  </si>
  <si>
    <t>유리한, 좋은</t>
    <phoneticPr fontId="1" type="noConversion"/>
  </si>
  <si>
    <t>favorite</t>
    <phoneticPr fontId="1" type="noConversion"/>
  </si>
  <si>
    <t>좋아하는, 마음에 드는</t>
    <phoneticPr fontId="1" type="noConversion"/>
  </si>
  <si>
    <r>
      <t xml:space="preserve">Fortunately, the tumor turned out to be </t>
    </r>
    <r>
      <rPr>
        <b/>
        <sz val="11"/>
        <color theme="1"/>
        <rFont val="맑은 고딕"/>
        <family val="3"/>
        <charset val="129"/>
        <scheme val="minor"/>
      </rPr>
      <t>benign</t>
    </r>
    <r>
      <rPr>
        <sz val="11"/>
        <color theme="1"/>
        <rFont val="맑은 고딕"/>
        <family val="3"/>
        <charset val="129"/>
        <scheme val="minor"/>
      </rPr>
      <t>.</t>
    </r>
    <phoneticPr fontId="1" type="noConversion"/>
  </si>
  <si>
    <t>tumor</t>
    <phoneticPr fontId="1" type="noConversion"/>
  </si>
  <si>
    <t>종양</t>
    <phoneticPr fontId="1" type="noConversion"/>
  </si>
  <si>
    <r>
      <t xml:space="preserve">The scandal </t>
    </r>
    <r>
      <rPr>
        <b/>
        <sz val="11"/>
        <color theme="1"/>
        <rFont val="맑은 고딕"/>
        <family val="3"/>
        <charset val="129"/>
        <scheme val="minor"/>
      </rPr>
      <t>tarnished</t>
    </r>
    <r>
      <rPr>
        <sz val="11"/>
        <color theme="1"/>
        <rFont val="맑은 고딕"/>
        <family val="3"/>
        <charset val="129"/>
        <scheme val="minor"/>
      </rPr>
      <t xml:space="preserve"> the politician's reputation.</t>
    </r>
    <phoneticPr fontId="1" type="noConversion"/>
  </si>
  <si>
    <t>reputation</t>
    <phoneticPr fontId="1" type="noConversion"/>
  </si>
  <si>
    <t>평판, 명성</t>
    <phoneticPr fontId="1" type="noConversion"/>
  </si>
  <si>
    <r>
      <t xml:space="preserve">Burglars </t>
    </r>
    <r>
      <rPr>
        <b/>
        <sz val="11"/>
        <color theme="1"/>
        <rFont val="맑은 고딕"/>
        <family val="3"/>
        <charset val="129"/>
        <scheme val="minor"/>
      </rPr>
      <t>ransacked</t>
    </r>
    <r>
      <rPr>
        <sz val="11"/>
        <color theme="1"/>
        <rFont val="맑은 고딕"/>
        <family val="3"/>
        <charset val="129"/>
        <scheme val="minor"/>
      </rPr>
      <t xml:space="preserve"> the house while the family was away.</t>
    </r>
    <phoneticPr fontId="1" type="noConversion"/>
  </si>
  <si>
    <t>burglar</t>
    <phoneticPr fontId="1" type="noConversion"/>
  </si>
  <si>
    <t>도둑, 강도</t>
    <phoneticPr fontId="1" type="noConversion"/>
  </si>
  <si>
    <r>
      <t xml:space="preserve">Heavy rain </t>
    </r>
    <r>
      <rPr>
        <b/>
        <sz val="11"/>
        <color theme="1"/>
        <rFont val="맑은 고딕"/>
        <family val="3"/>
        <charset val="129"/>
        <scheme val="minor"/>
      </rPr>
      <t>inundated</t>
    </r>
    <r>
      <rPr>
        <sz val="11"/>
        <color theme="1"/>
        <rFont val="맑은 고딕"/>
        <family val="3"/>
        <charset val="129"/>
        <scheme val="minor"/>
      </rPr>
      <t xml:space="preserve"> the streets of the city.</t>
    </r>
    <phoneticPr fontId="1" type="noConversion"/>
  </si>
  <si>
    <r>
      <t xml:space="preserve">The factory was fined for </t>
    </r>
    <r>
      <rPr>
        <b/>
        <sz val="11"/>
        <color theme="1"/>
        <rFont val="맑은 고딕"/>
        <family val="3"/>
        <charset val="129"/>
        <scheme val="minor"/>
      </rPr>
      <t>discharging</t>
    </r>
    <r>
      <rPr>
        <sz val="11"/>
        <color theme="1"/>
        <rFont val="맑은 고딕"/>
        <family val="3"/>
        <charset val="129"/>
        <scheme val="minor"/>
      </rPr>
      <t xml:space="preserve"> waste into the river.</t>
    </r>
    <phoneticPr fontId="1" type="noConversion"/>
  </si>
  <si>
    <r>
      <t xml:space="preserve">The contract includes a </t>
    </r>
    <r>
      <rPr>
        <b/>
        <sz val="11"/>
        <color theme="1"/>
        <rFont val="맑은 고딕"/>
        <family val="3"/>
        <charset val="129"/>
        <scheme val="minor"/>
      </rPr>
      <t>stipulation</t>
    </r>
    <r>
      <rPr>
        <sz val="11"/>
        <color theme="1"/>
        <rFont val="맑은 고딕"/>
        <family val="3"/>
        <charset val="129"/>
        <scheme val="minor"/>
      </rPr>
      <t xml:space="preserve"> about overtime pay.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</si>
  <si>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antecedent</t>
    </r>
    <r>
      <rPr>
        <sz val="11"/>
        <color theme="1"/>
        <rFont val="맑은 고딕"/>
        <family val="3"/>
        <charset val="129"/>
        <scheme val="minor"/>
      </rPr>
      <t xml:space="preserve"> events led to the current crisis.</t>
    </r>
    <phoneticPr fontId="1" type="noConversion"/>
  </si>
  <si>
    <r>
      <t xml:space="preserve">The policy change had serious </t>
    </r>
    <r>
      <rPr>
        <b/>
        <sz val="11"/>
        <color theme="1"/>
        <rFont val="맑은 고딕"/>
        <family val="3"/>
        <charset val="129"/>
        <scheme val="minor"/>
      </rPr>
      <t>repercussions</t>
    </r>
    <r>
      <rPr>
        <sz val="11"/>
        <color theme="1"/>
        <rFont val="맑은 고딕"/>
        <family val="3"/>
        <charset val="129"/>
        <scheme val="minor"/>
      </rPr>
      <t xml:space="preserve"> for small businesses.</t>
    </r>
    <phoneticPr fontId="1" type="noConversion"/>
  </si>
  <si>
    <r>
      <t xml:space="preserve">Under no </t>
    </r>
    <r>
      <rPr>
        <b/>
        <sz val="11"/>
        <color theme="1"/>
        <rFont val="맑은 고딕"/>
        <family val="3"/>
        <charset val="129"/>
        <scheme val="minor"/>
      </rPr>
      <t>circumstance</t>
    </r>
    <r>
      <rPr>
        <sz val="11"/>
        <color theme="1"/>
        <rFont val="맑은 고딕"/>
        <family val="3"/>
        <charset val="129"/>
        <scheme val="minor"/>
      </rPr>
      <t xml:space="preserve"> should you open the door to strangers.</t>
    </r>
    <phoneticPr fontId="1" type="noConversion"/>
  </si>
  <si>
    <r>
      <t xml:space="preserve">The film </t>
    </r>
    <r>
      <rPr>
        <b/>
        <sz val="11"/>
        <color theme="1"/>
        <rFont val="맑은 고딕"/>
        <family val="3"/>
        <charset val="129"/>
        <scheme val="minor"/>
      </rPr>
      <t>garnered</t>
    </r>
    <r>
      <rPr>
        <sz val="11"/>
        <color theme="1"/>
        <rFont val="맑은 고딕"/>
        <family val="3"/>
        <charset val="129"/>
        <scheme val="minor"/>
      </rPr>
      <t xml:space="preserve"> praise from critics worldwide.</t>
    </r>
    <phoneticPr fontId="1" type="noConversion"/>
  </si>
  <si>
    <r>
      <t xml:space="preserve">She </t>
    </r>
    <r>
      <rPr>
        <b/>
        <sz val="11"/>
        <color theme="1"/>
        <rFont val="맑은 고딕"/>
        <family val="3"/>
        <charset val="129"/>
        <scheme val="minor"/>
      </rPr>
      <t>beckoned</t>
    </r>
    <r>
      <rPr>
        <sz val="11"/>
        <color theme="1"/>
        <rFont val="맑은 고딕"/>
        <family val="3"/>
        <charset val="129"/>
        <scheme val="minor"/>
      </rPr>
      <t xml:space="preserve"> him to come closer with a wave of her hand.</t>
    </r>
    <phoneticPr fontId="1" type="noConversion"/>
  </si>
  <si>
    <r>
      <t xml:space="preserve">He </t>
    </r>
    <r>
      <rPr>
        <b/>
        <sz val="11"/>
        <color theme="1"/>
        <rFont val="맑은 고딕"/>
        <family val="3"/>
        <charset val="129"/>
        <scheme val="minor"/>
      </rPr>
      <t>contracted</t>
    </r>
    <r>
      <rPr>
        <sz val="11"/>
        <color theme="1"/>
        <rFont val="맑은 고딕"/>
        <family val="3"/>
        <charset val="129"/>
        <scheme val="minor"/>
      </rPr>
      <t xml:space="preserve"> a rare disease while traveling abroad.</t>
    </r>
    <phoneticPr fontId="1" type="noConversion"/>
  </si>
  <si>
    <r>
      <t xml:space="preserve">The United Nations imposed </t>
    </r>
    <r>
      <rPr>
        <b/>
        <sz val="11"/>
        <color theme="1"/>
        <rFont val="맑은 고딕"/>
        <family val="3"/>
        <charset val="129"/>
        <scheme val="minor"/>
      </rPr>
      <t>sanctions</t>
    </r>
    <r>
      <rPr>
        <sz val="11"/>
        <color theme="1"/>
        <rFont val="맑은 고딕"/>
        <family val="3"/>
        <charset val="129"/>
        <scheme val="minor"/>
      </rPr>
      <t xml:space="preserve"> on the country.</t>
    </r>
    <phoneticPr fontId="1" type="noConversion"/>
  </si>
  <si>
    <r>
      <t xml:space="preserve">New evidence </t>
    </r>
    <r>
      <rPr>
        <b/>
        <sz val="11"/>
        <color theme="1"/>
        <rFont val="맑은 고딕"/>
        <family val="3"/>
        <charset val="129"/>
        <scheme val="minor"/>
      </rPr>
      <t>bolstered</t>
    </r>
    <r>
      <rPr>
        <sz val="11"/>
        <color theme="1"/>
        <rFont val="맑은 고딕"/>
        <family val="3"/>
        <charset val="129"/>
        <scheme val="minor"/>
      </rPr>
      <t xml:space="preserve"> the lawyer's case.</t>
    </r>
    <phoneticPr fontId="1" type="noConversion"/>
  </si>
  <si>
    <r>
      <t xml:space="preserve">The unexpected news </t>
    </r>
    <r>
      <rPr>
        <b/>
        <sz val="11"/>
        <color theme="1"/>
        <rFont val="맑은 고딕"/>
        <family val="3"/>
        <charset val="129"/>
        <scheme val="minor"/>
      </rPr>
      <t>perturbed</t>
    </r>
    <r>
      <rPr>
        <sz val="11"/>
        <color theme="1"/>
        <rFont val="맑은 고딕"/>
        <family val="3"/>
        <charset val="129"/>
        <scheme val="minor"/>
      </rPr>
      <t xml:space="preserve"> the entire team.</t>
    </r>
    <phoneticPr fontId="1" type="noConversion"/>
  </si>
  <si>
    <r>
      <t xml:space="preserve">The manager </t>
    </r>
    <r>
      <rPr>
        <b/>
        <sz val="11"/>
        <color theme="1"/>
        <rFont val="맑은 고딕"/>
        <family val="3"/>
        <charset val="129"/>
        <scheme val="minor"/>
      </rPr>
      <t>upbraided</t>
    </r>
    <r>
      <rPr>
        <sz val="11"/>
        <color theme="1"/>
        <rFont val="맑은 고딕"/>
        <family val="3"/>
        <charset val="129"/>
        <scheme val="minor"/>
      </rPr>
      <t xml:space="preserve"> the employee for being late again.</t>
    </r>
    <phoneticPr fontId="1" type="noConversion"/>
  </si>
  <si>
    <r>
      <t xml:space="preserve">He has been suffering from a serious </t>
    </r>
    <r>
      <rPr>
        <b/>
        <sz val="11"/>
        <color theme="1"/>
        <rFont val="맑은 고딕"/>
        <family val="3"/>
        <charset val="129"/>
        <scheme val="minor"/>
      </rPr>
      <t>illness</t>
    </r>
    <r>
      <rPr>
        <sz val="11"/>
        <color theme="1"/>
        <rFont val="맑은 고딕"/>
        <family val="3"/>
        <charset val="129"/>
        <scheme val="minor"/>
      </rPr>
      <t xml:space="preserve"> for months.</t>
    </r>
    <phoneticPr fontId="1" type="noConversion"/>
  </si>
  <si>
    <r>
      <t xml:space="preserve">The medicine brought immediate </t>
    </r>
    <r>
      <rPr>
        <b/>
        <sz val="11"/>
        <color theme="1"/>
        <rFont val="맑은 고딕"/>
        <family val="3"/>
        <charset val="129"/>
        <scheme val="minor"/>
      </rPr>
      <t>relief</t>
    </r>
    <r>
      <rPr>
        <sz val="11"/>
        <color theme="1"/>
        <rFont val="맑은 고딕"/>
        <family val="3"/>
        <charset val="129"/>
        <scheme val="minor"/>
      </rPr>
      <t xml:space="preserve"> from the headache.</t>
    </r>
    <phoneticPr fontId="1" type="noConversion"/>
  </si>
  <si>
    <r>
      <t xml:space="preserve">The movie was a real </t>
    </r>
    <r>
      <rPr>
        <b/>
        <sz val="11"/>
        <color theme="1"/>
        <rFont val="맑은 고딕"/>
        <family val="3"/>
        <charset val="129"/>
        <scheme val="minor"/>
      </rPr>
      <t>letdown</t>
    </r>
    <r>
      <rPr>
        <sz val="11"/>
        <color theme="1"/>
        <rFont val="맑은 고딕"/>
        <family val="3"/>
        <charset val="129"/>
        <scheme val="minor"/>
      </rPr>
      <t xml:space="preserve"> after all the hype.</t>
    </r>
    <phoneticPr fontId="1" type="noConversion"/>
  </si>
  <si>
    <t>hype</t>
    <phoneticPr fontId="1" type="noConversion"/>
  </si>
  <si>
    <t>사기</t>
    <phoneticPr fontId="1" type="noConversion"/>
  </si>
  <si>
    <r>
      <t xml:space="preserve">It is </t>
    </r>
    <r>
      <rPr>
        <b/>
        <sz val="11"/>
        <color theme="1"/>
        <rFont val="맑은 고딕"/>
        <family val="3"/>
        <charset val="129"/>
        <scheme val="minor"/>
      </rPr>
      <t>imperative</t>
    </r>
    <r>
      <rPr>
        <sz val="11"/>
        <color theme="1"/>
        <rFont val="맑은 고딕"/>
        <family val="3"/>
        <charset val="129"/>
        <scheme val="minor"/>
      </rPr>
      <t xml:space="preserve"> that we act now to prevent further damage.</t>
    </r>
    <phoneticPr fontId="1" type="noConversion"/>
  </si>
  <si>
    <r>
      <t xml:space="preserve">They managed to </t>
    </r>
    <r>
      <rPr>
        <b/>
        <sz val="11"/>
        <color theme="1"/>
        <rFont val="맑은 고딕"/>
        <family val="3"/>
        <charset val="129"/>
        <scheme val="minor"/>
      </rPr>
      <t>settle</t>
    </r>
    <r>
      <rPr>
        <sz val="11"/>
        <color theme="1"/>
        <rFont val="맑은 고딕"/>
        <family val="3"/>
        <charset val="129"/>
        <scheme val="minor"/>
      </rPr>
      <t xml:space="preserve"> the dispute out of court.</t>
    </r>
    <phoneticPr fontId="1" type="noConversion"/>
  </si>
  <si>
    <t>dispute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</si>
  <si>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So far</t>
    </r>
    <r>
      <rPr>
        <sz val="11"/>
        <color theme="1"/>
        <rFont val="맑은 고딕"/>
        <family val="3"/>
        <charset val="129"/>
        <scheme val="minor"/>
      </rPr>
      <t>, no one has complained about the new policy.</t>
    </r>
    <phoneticPr fontId="1" type="noConversion"/>
  </si>
  <si>
    <r>
      <t xml:space="preserve">Japanese people </t>
    </r>
    <r>
      <rPr>
        <b/>
        <sz val="11"/>
        <color theme="1"/>
        <rFont val="맑은 고딕"/>
        <family val="3"/>
        <charset val="129"/>
        <scheme val="minor"/>
      </rPr>
      <t>customarily</t>
    </r>
    <r>
      <rPr>
        <sz val="11"/>
        <color theme="1"/>
        <rFont val="맑은 고딕"/>
        <family val="3"/>
        <charset val="129"/>
        <scheme val="minor"/>
      </rPr>
      <t xml:space="preserve"> bow when greeting someone.</t>
    </r>
    <phoneticPr fontId="1" type="noConversion"/>
  </si>
  <si>
    <r>
      <t xml:space="preserve">We </t>
    </r>
    <r>
      <rPr>
        <b/>
        <sz val="11"/>
        <color theme="1"/>
        <rFont val="맑은 고딕"/>
        <family val="3"/>
        <charset val="129"/>
        <scheme val="minor"/>
      </rPr>
      <t>anticipate</t>
    </r>
    <r>
      <rPr>
        <sz val="11"/>
        <color theme="1"/>
        <rFont val="맑은 고딕"/>
        <family val="3"/>
        <charset val="129"/>
        <scheme val="minor"/>
      </rPr>
      <t xml:space="preserve"> a rise in demand during the holiday season.</t>
    </r>
    <phoneticPr fontId="1" type="noConversion"/>
  </si>
  <si>
    <r>
      <t xml:space="preserve">Yoga can </t>
    </r>
    <r>
      <rPr>
        <b/>
        <sz val="11"/>
        <color theme="1"/>
        <rFont val="맑은 고딕"/>
        <family val="3"/>
        <charset val="129"/>
        <scheme val="minor"/>
      </rPr>
      <t>ease</t>
    </r>
    <r>
      <rPr>
        <sz val="11"/>
        <color theme="1"/>
        <rFont val="맑은 고딕"/>
        <family val="3"/>
        <charset val="129"/>
        <scheme val="minor"/>
      </rPr>
      <t xml:space="preserve"> both physical and mental tension.</t>
    </r>
    <phoneticPr fontId="1" type="noConversion"/>
  </si>
  <si>
    <r>
      <t xml:space="preserve">The audience burst into </t>
    </r>
    <r>
      <rPr>
        <b/>
        <sz val="11"/>
        <color theme="1"/>
        <rFont val="맑은 고딕"/>
        <family val="3"/>
        <charset val="129"/>
        <scheme val="minor"/>
      </rPr>
      <t>applause</t>
    </r>
    <r>
      <rPr>
        <sz val="11"/>
        <color theme="1"/>
        <rFont val="맑은 고딕"/>
        <family val="3"/>
        <charset val="129"/>
        <scheme val="minor"/>
      </rPr>
      <t xml:space="preserve"> after the performance.</t>
    </r>
    <phoneticPr fontId="1" type="noConversion"/>
  </si>
  <si>
    <t>burst</t>
    <phoneticPr fontId="1" type="noConversion"/>
  </si>
  <si>
    <t>터지다, 폭발하다</t>
    <phoneticPr fontId="1" type="noConversion"/>
  </si>
  <si>
    <r>
      <t xml:space="preserve">Her </t>
    </r>
    <r>
      <rPr>
        <b/>
        <sz val="11"/>
        <color theme="1"/>
        <rFont val="맑은 고딕"/>
        <family val="3"/>
        <charset val="129"/>
        <scheme val="minor"/>
      </rPr>
      <t>facial</t>
    </r>
    <r>
      <rPr>
        <sz val="11"/>
        <color theme="1"/>
        <rFont val="맑은 고딕"/>
        <family val="3"/>
        <charset val="129"/>
        <scheme val="minor"/>
      </rPr>
      <t xml:space="preserve"> expression showed surprise and confusion.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</si>
  <si>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patient</t>
    </r>
    <r>
      <rPr>
        <sz val="11"/>
        <color theme="1"/>
        <rFont val="맑은 고딕"/>
        <family val="3"/>
        <charset val="129"/>
        <scheme val="minor"/>
      </rPr>
      <t xml:space="preserve"> waited calmly in the hospital room.</t>
    </r>
    <phoneticPr fontId="1" type="noConversion"/>
  </si>
  <si>
    <r>
      <t xml:space="preserve">Learning a new language requires a lot of </t>
    </r>
    <r>
      <rPr>
        <b/>
        <sz val="11"/>
        <color theme="1"/>
        <rFont val="맑은 고딕"/>
        <family val="3"/>
        <charset val="129"/>
        <scheme val="minor"/>
      </rPr>
      <t>patience</t>
    </r>
    <r>
      <rPr>
        <sz val="11"/>
        <color theme="1"/>
        <rFont val="맑은 고딕"/>
        <family val="3"/>
        <charset val="129"/>
        <scheme val="minor"/>
      </rPr>
      <t>.</t>
    </r>
    <phoneticPr fontId="1" type="noConversion"/>
  </si>
  <si>
    <r>
      <t xml:space="preserve">Don't let advertisements </t>
    </r>
    <r>
      <rPr>
        <b/>
        <sz val="11"/>
        <color theme="1"/>
        <rFont val="맑은 고딕"/>
        <family val="3"/>
        <charset val="129"/>
        <scheme val="minor"/>
      </rPr>
      <t>mislead</t>
    </r>
    <r>
      <rPr>
        <sz val="11"/>
        <color theme="1"/>
        <rFont val="맑은 고딕"/>
        <family val="3"/>
        <charset val="129"/>
        <scheme val="minor"/>
      </rPr>
      <t xml:space="preserve"> you into buying unnecessary products.</t>
    </r>
    <phoneticPr fontId="1" type="noConversion"/>
  </si>
  <si>
    <r>
      <t xml:space="preserve">She took out a </t>
    </r>
    <r>
      <rPr>
        <b/>
        <sz val="11"/>
        <color theme="1"/>
        <rFont val="맑은 고딕"/>
        <family val="3"/>
        <charset val="129"/>
        <scheme val="minor"/>
      </rPr>
      <t>loan</t>
    </r>
    <r>
      <rPr>
        <sz val="11"/>
        <color theme="1"/>
        <rFont val="맑은 고딕"/>
        <family val="3"/>
        <charset val="129"/>
        <scheme val="minor"/>
      </rPr>
      <t xml:space="preserve"> to pay for her college tuition.</t>
    </r>
    <phoneticPr fontId="1" type="noConversion"/>
  </si>
  <si>
    <t>tuition</t>
    <phoneticPr fontId="1" type="noConversion"/>
  </si>
  <si>
    <t>등록금, 수업료</t>
    <phoneticPr fontId="1" type="noConversion"/>
  </si>
  <si>
    <r>
      <t xml:space="preserve">There was a heated </t>
    </r>
    <r>
      <rPr>
        <b/>
        <sz val="11"/>
        <color theme="1"/>
        <rFont val="맑은 고딕"/>
        <family val="3"/>
        <charset val="129"/>
        <scheme val="minor"/>
      </rPr>
      <t>debate</t>
    </r>
    <r>
      <rPr>
        <sz val="11"/>
        <color theme="1"/>
        <rFont val="맑은 고딕"/>
        <family val="3"/>
        <charset val="129"/>
        <scheme val="minor"/>
      </rPr>
      <t xml:space="preserve"> about climate change at the conference.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</si>
  <si>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figure</t>
    </r>
    <r>
      <rPr>
        <sz val="11"/>
        <color theme="1"/>
        <rFont val="맑은 고딕"/>
        <family val="3"/>
        <charset val="129"/>
        <scheme val="minor"/>
      </rPr>
      <t xml:space="preserve"> on the chart shows a steady increase in sales.</t>
    </r>
    <phoneticPr fontId="1" type="noConversion"/>
  </si>
  <si>
    <r>
      <t xml:space="preserve">Teaching is a challenging but </t>
    </r>
    <r>
      <rPr>
        <b/>
        <sz val="11"/>
        <color theme="1"/>
        <rFont val="맑은 고딕"/>
        <family val="3"/>
        <charset val="129"/>
        <scheme val="minor"/>
      </rPr>
      <t>rewarding</t>
    </r>
    <r>
      <rPr>
        <sz val="11"/>
        <color theme="1"/>
        <rFont val="맑은 고딕"/>
        <family val="3"/>
        <charset val="129"/>
        <scheme val="minor"/>
      </rPr>
      <t xml:space="preserve"> career.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</si>
  <si>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constant</t>
    </r>
    <r>
      <rPr>
        <sz val="11"/>
        <color theme="1"/>
        <rFont val="맑은 고딕"/>
        <family val="3"/>
        <charset val="129"/>
        <scheme val="minor"/>
      </rPr>
      <t xml:space="preserve"> noise from the construction site bothered everyone.</t>
    </r>
    <phoneticPr fontId="1" type="noConversion"/>
  </si>
  <si>
    <t>harsh</t>
    <phoneticPr fontId="1" type="noConversion"/>
  </si>
  <si>
    <t>가혹한, 거친</t>
    <phoneticPr fontId="1" type="noConversion"/>
  </si>
  <si>
    <r>
      <t xml:space="preserve">The film received harsh </t>
    </r>
    <r>
      <rPr>
        <b/>
        <sz val="11"/>
        <color theme="1"/>
        <rFont val="맑은 고딕"/>
        <family val="3"/>
        <charset val="129"/>
        <scheme val="minor"/>
      </rPr>
      <t>criticism</t>
    </r>
    <r>
      <rPr>
        <sz val="11"/>
        <color theme="1"/>
        <rFont val="맑은 고딕"/>
        <family val="3"/>
        <charset val="129"/>
        <scheme val="minor"/>
      </rPr>
      <t xml:space="preserve"> from reviewers.</t>
    </r>
    <phoneticPr fontId="1" type="noConversion"/>
  </si>
  <si>
    <r>
      <t xml:space="preserve">The CEO gave a </t>
    </r>
    <r>
      <rPr>
        <b/>
        <sz val="11"/>
        <color theme="1"/>
        <rFont val="맑은 고딕"/>
        <family val="3"/>
        <charset val="129"/>
        <scheme val="minor"/>
      </rPr>
      <t>brief</t>
    </r>
    <r>
      <rPr>
        <sz val="11"/>
        <color theme="1"/>
        <rFont val="맑은 고딕"/>
        <family val="3"/>
        <charset val="129"/>
        <scheme val="minor"/>
      </rPr>
      <t xml:space="preserve"> summary of the company's progress.</t>
    </r>
    <phoneticPr fontId="1" type="noConversion"/>
  </si>
  <si>
    <r>
      <t xml:space="preserve">He denied the </t>
    </r>
    <r>
      <rPr>
        <b/>
        <sz val="11"/>
        <color theme="1"/>
        <rFont val="맑은 고딕"/>
        <family val="3"/>
        <charset val="129"/>
        <scheme val="minor"/>
      </rPr>
      <t>accusation</t>
    </r>
    <r>
      <rPr>
        <sz val="11"/>
        <color theme="1"/>
        <rFont val="맑은 고딕"/>
        <family val="3"/>
        <charset val="129"/>
        <scheme val="minor"/>
      </rPr>
      <t xml:space="preserve"> and demanded proof.</t>
    </r>
    <phoneticPr fontId="1" type="noConversion"/>
  </si>
  <si>
    <r>
      <t xml:space="preserve">The anonymous </t>
    </r>
    <r>
      <rPr>
        <b/>
        <sz val="11"/>
        <color theme="1"/>
        <rFont val="맑은 고딕"/>
        <family val="3"/>
        <charset val="129"/>
        <scheme val="minor"/>
      </rPr>
      <t>donor</t>
    </r>
    <r>
      <rPr>
        <sz val="11"/>
        <color theme="1"/>
        <rFont val="맑은 고딕"/>
        <family val="3"/>
        <charset val="129"/>
        <scheme val="minor"/>
      </rPr>
      <t xml:space="preserve"> contributed a million dollars to the charity.</t>
    </r>
    <phoneticPr fontId="1" type="noConversion"/>
  </si>
  <si>
    <r>
      <t xml:space="preserve">It is human </t>
    </r>
    <r>
      <rPr>
        <b/>
        <sz val="11"/>
        <color theme="1"/>
        <rFont val="맑은 고딕"/>
        <family val="3"/>
        <charset val="129"/>
        <scheme val="minor"/>
      </rPr>
      <t>nature</t>
    </r>
    <r>
      <rPr>
        <sz val="11"/>
        <color theme="1"/>
        <rFont val="맑은 고딕"/>
        <family val="3"/>
        <charset val="129"/>
        <scheme val="minor"/>
      </rPr>
      <t xml:space="preserve"> to seek connection with others.</t>
    </r>
    <phoneticPr fontId="1" type="noConversion"/>
  </si>
  <si>
    <r>
      <t xml:space="preserve">She was popular </t>
    </r>
    <r>
      <rPr>
        <b/>
        <sz val="11"/>
        <color theme="1"/>
        <rFont val="맑은 고딕"/>
        <family val="3"/>
        <charset val="129"/>
        <scheme val="minor"/>
      </rPr>
      <t>among</t>
    </r>
    <r>
      <rPr>
        <sz val="11"/>
        <color theme="1"/>
        <rFont val="맑은 고딕"/>
        <family val="3"/>
        <charset val="129"/>
        <scheme val="minor"/>
      </rPr>
      <t xml:space="preserve"> her classmates for her kindness.</t>
    </r>
    <phoneticPr fontId="1" type="noConversion"/>
  </si>
  <si>
    <r>
      <t xml:space="preserve">He invested in real </t>
    </r>
    <r>
      <rPr>
        <b/>
        <sz val="11"/>
        <color theme="1"/>
        <rFont val="맑은 고딕"/>
        <family val="3"/>
        <charset val="129"/>
        <scheme val="minor"/>
      </rPr>
      <t>estate</t>
    </r>
    <r>
      <rPr>
        <sz val="11"/>
        <color theme="1"/>
        <rFont val="맑은 고딕"/>
        <family val="3"/>
        <charset val="129"/>
        <scheme val="minor"/>
      </rPr>
      <t xml:space="preserve"> to build long-term wealth.</t>
    </r>
    <phoneticPr fontId="1" type="noConversion"/>
  </si>
  <si>
    <r>
      <t xml:space="preserve">The public </t>
    </r>
    <r>
      <rPr>
        <b/>
        <sz val="11"/>
        <color theme="1"/>
        <rFont val="맑은 고딕"/>
        <family val="3"/>
        <charset val="129"/>
        <scheme val="minor"/>
      </rPr>
      <t>humiliation</t>
    </r>
    <r>
      <rPr>
        <sz val="11"/>
        <color theme="1"/>
        <rFont val="맑은 고딕"/>
        <family val="3"/>
        <charset val="129"/>
        <scheme val="minor"/>
      </rPr>
      <t xml:space="preserve"> left a lasting scar on his confidence.</t>
    </r>
    <phoneticPr fontId="1" type="noConversion"/>
  </si>
  <si>
    <t>scar</t>
    <phoneticPr fontId="1" type="noConversion"/>
  </si>
  <si>
    <t>흉터, 자국</t>
    <phoneticPr fontId="1" type="noConversion"/>
  </si>
  <si>
    <r>
      <t xml:space="preserve">The official was caught accepting a </t>
    </r>
    <r>
      <rPr>
        <b/>
        <sz val="11"/>
        <color theme="1"/>
        <rFont val="맑은 고딕"/>
        <family val="3"/>
        <charset val="129"/>
        <scheme val="minor"/>
      </rPr>
      <t>bribe</t>
    </r>
    <r>
      <rPr>
        <sz val="11"/>
        <color theme="1"/>
        <rFont val="맑은 고딕"/>
        <family val="3"/>
        <charset val="129"/>
        <scheme val="minor"/>
      </rPr>
      <t xml:space="preserve"> from the contractor.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</si>
  <si>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gymnast</t>
    </r>
    <r>
      <rPr>
        <sz val="11"/>
        <color theme="1"/>
        <rFont val="맑은 고딕"/>
        <family val="3"/>
        <charset val="129"/>
        <scheme val="minor"/>
      </rPr>
      <t xml:space="preserve"> performed a flawless routine on the balance beam.</t>
    </r>
    <phoneticPr fontId="1" type="noConversion"/>
  </si>
  <si>
    <t>flawless</t>
    <phoneticPr fontId="1" type="noConversion"/>
  </si>
  <si>
    <t>흠없는, 완벽한</t>
    <phoneticPr fontId="1" type="noConversion"/>
  </si>
  <si>
    <r>
      <t xml:space="preserve">The chef </t>
    </r>
    <r>
      <rPr>
        <b/>
        <sz val="11"/>
        <color theme="1"/>
        <rFont val="맑은 고딕"/>
        <family val="3"/>
        <charset val="129"/>
        <scheme val="minor"/>
      </rPr>
      <t>flipped</t>
    </r>
    <r>
      <rPr>
        <sz val="11"/>
        <color theme="1"/>
        <rFont val="맑은 고딕"/>
        <family val="3"/>
        <charset val="129"/>
        <scheme val="minor"/>
      </rPr>
      <t xml:space="preserve"> the pancake with one hand.</t>
    </r>
    <phoneticPr fontId="1" type="noConversion"/>
  </si>
  <si>
    <r>
      <t xml:space="preserve">A power </t>
    </r>
    <r>
      <rPr>
        <b/>
        <sz val="11"/>
        <color theme="1"/>
        <rFont val="맑은 고딕"/>
        <family val="3"/>
        <charset val="129"/>
        <scheme val="minor"/>
      </rPr>
      <t>outage</t>
    </r>
    <r>
      <rPr>
        <sz val="11"/>
        <color theme="1"/>
        <rFont val="맑은 고딕"/>
        <family val="3"/>
        <charset val="129"/>
        <scheme val="minor"/>
      </rPr>
      <t xml:space="preserve"> left thousands of homes without electricity.</t>
    </r>
    <phoneticPr fontId="1" type="noConversion"/>
  </si>
  <si>
    <r>
      <t xml:space="preserve">She </t>
    </r>
    <r>
      <rPr>
        <b/>
        <sz val="11"/>
        <color theme="1"/>
        <rFont val="맑은 고딕"/>
        <family val="3"/>
        <charset val="129"/>
        <scheme val="minor"/>
      </rPr>
      <t>refused</t>
    </r>
    <r>
      <rPr>
        <sz val="11"/>
        <color theme="1"/>
        <rFont val="맑은 고딕"/>
        <family val="3"/>
        <charset val="129"/>
        <scheme val="minor"/>
      </rPr>
      <t xml:space="preserve"> to sign the contract without reading it first.</t>
    </r>
    <phoneticPr fontId="1" type="noConversion"/>
  </si>
  <si>
    <r>
      <t xml:space="preserve">The doctor </t>
    </r>
    <r>
      <rPr>
        <b/>
        <sz val="11"/>
        <color theme="1"/>
        <rFont val="맑은 고딕"/>
        <family val="3"/>
        <charset val="129"/>
        <scheme val="minor"/>
      </rPr>
      <t>prescribed</t>
    </r>
    <r>
      <rPr>
        <sz val="11"/>
        <color theme="1"/>
        <rFont val="맑은 고딕"/>
        <family val="3"/>
        <charset val="129"/>
        <scheme val="minor"/>
      </rPr>
      <t xml:space="preserve"> medication to lower his blood pressure.</t>
    </r>
    <phoneticPr fontId="1" type="noConversion"/>
  </si>
  <si>
    <t>medication</t>
    <phoneticPr fontId="1" type="noConversion"/>
  </si>
  <si>
    <t>약물, 투약</t>
    <phoneticPr fontId="1" type="noConversion"/>
  </si>
  <si>
    <r>
      <t xml:space="preserve">Her </t>
    </r>
    <r>
      <rPr>
        <b/>
        <sz val="11"/>
        <color theme="1"/>
        <rFont val="맑은 고딕"/>
        <family val="3"/>
        <charset val="129"/>
        <scheme val="minor"/>
      </rPr>
      <t>decisive</t>
    </r>
    <r>
      <rPr>
        <sz val="11"/>
        <color theme="1"/>
        <rFont val="맑은 고딕"/>
        <family val="3"/>
        <charset val="129"/>
        <scheme val="minor"/>
      </rPr>
      <t xml:space="preserve"> action during the crisis saved many lives.</t>
    </r>
    <phoneticPr fontId="1" type="noConversion"/>
  </si>
  <si>
    <r>
      <t xml:space="preserve">He is a </t>
    </r>
    <r>
      <rPr>
        <b/>
        <sz val="11"/>
        <color theme="1"/>
        <rFont val="맑은 고딕"/>
        <family val="3"/>
        <charset val="129"/>
        <scheme val="minor"/>
      </rPr>
      <t>dependable</t>
    </r>
    <r>
      <rPr>
        <sz val="11"/>
        <color theme="1"/>
        <rFont val="맑은 고딕"/>
        <family val="3"/>
        <charset val="129"/>
        <scheme val="minor"/>
      </rPr>
      <t xml:space="preserve"> friend who always keeps his promises.</t>
    </r>
    <phoneticPr fontId="1" type="noConversion"/>
  </si>
  <si>
    <r>
      <t xml:space="preserve">The country is heavily </t>
    </r>
    <r>
      <rPr>
        <b/>
        <sz val="11"/>
        <color theme="1"/>
        <rFont val="맑은 고딕"/>
        <family val="3"/>
        <charset val="129"/>
        <scheme val="minor"/>
      </rPr>
      <t>dependent</t>
    </r>
    <r>
      <rPr>
        <sz val="11"/>
        <color theme="1"/>
        <rFont val="맑은 고딕"/>
        <family val="3"/>
        <charset val="129"/>
        <scheme val="minor"/>
      </rPr>
      <t xml:space="preserve"> on oil exports for revenue.</t>
    </r>
    <phoneticPr fontId="1" type="noConversion"/>
  </si>
  <si>
    <t>export</t>
    <phoneticPr fontId="1" type="noConversion"/>
  </si>
  <si>
    <t>수출</t>
    <phoneticPr fontId="1" type="noConversion"/>
  </si>
  <si>
    <t>import</t>
    <phoneticPr fontId="1" type="noConversion"/>
  </si>
  <si>
    <t>수입</t>
    <phoneticPr fontId="1" type="noConversion"/>
  </si>
  <si>
    <t>scruticize</t>
    <phoneticPr fontId="1" type="noConversion"/>
  </si>
  <si>
    <r>
      <t xml:space="preserve">She felt </t>
    </r>
    <r>
      <rPr>
        <b/>
        <sz val="11"/>
        <color theme="1"/>
        <rFont val="맑은 고딕"/>
        <family val="3"/>
        <charset val="129"/>
        <scheme val="minor"/>
      </rPr>
      <t>confident</t>
    </r>
    <r>
      <rPr>
        <sz val="11"/>
        <color theme="1"/>
        <rFont val="맑은 고딕"/>
        <family val="3"/>
        <charset val="129"/>
        <scheme val="minor"/>
      </rPr>
      <t xml:space="preserve"> about passing the exam after weeks of study.</t>
    </r>
    <phoneticPr fontId="1" type="noConversion"/>
  </si>
  <si>
    <r>
      <t xml:space="preserve">All employee records are kept strictly </t>
    </r>
    <r>
      <rPr>
        <b/>
        <sz val="11"/>
        <color theme="1"/>
        <rFont val="맑은 고딕"/>
        <family val="3"/>
        <charset val="129"/>
        <scheme val="minor"/>
      </rPr>
      <t>confidential</t>
    </r>
    <r>
      <rPr>
        <sz val="11"/>
        <color theme="1"/>
        <rFont val="맑은 고딕"/>
        <family val="3"/>
        <charset val="129"/>
        <scheme val="minor"/>
      </rPr>
      <t>.</t>
    </r>
    <phoneticPr fontId="1" type="noConversion"/>
  </si>
  <si>
    <r>
      <t xml:space="preserve">It was </t>
    </r>
    <r>
      <rPr>
        <b/>
        <sz val="11"/>
        <color theme="1"/>
        <rFont val="맑은 고딕"/>
        <family val="3"/>
        <charset val="129"/>
        <scheme val="minor"/>
      </rPr>
      <t>considerate</t>
    </r>
    <r>
      <rPr>
        <sz val="11"/>
        <color theme="1"/>
        <rFont val="맑은 고딕"/>
        <family val="3"/>
        <charset val="129"/>
        <scheme val="minor"/>
      </rPr>
      <t xml:space="preserve"> of you to bring food for everyone.</t>
    </r>
    <phoneticPr fontId="1" type="noConversion"/>
  </si>
  <si>
    <t>구분</t>
  </si>
  <si>
    <t>오답 체크</t>
  </si>
  <si>
    <r>
      <t xml:space="preserve">The project required a </t>
    </r>
    <r>
      <rPr>
        <b/>
        <sz val="11"/>
        <color theme="1"/>
        <rFont val="맑은 고딕"/>
        <family val="3"/>
        <charset val="129"/>
        <scheme val="minor"/>
      </rPr>
      <t>considerable</t>
    </r>
    <r>
      <rPr>
        <sz val="11"/>
        <color theme="1"/>
        <rFont val="맑은 고딕"/>
        <family val="3"/>
        <charset val="129"/>
        <scheme val="minor"/>
      </rPr>
      <t xml:space="preserve"> amount of time and effort.</t>
    </r>
    <phoneticPr fontId="1" type="noConversion"/>
  </si>
  <si>
    <r>
      <t xml:space="preserve">The weather forecast is </t>
    </r>
    <r>
      <rPr>
        <b/>
        <sz val="11"/>
        <color theme="1"/>
        <rFont val="맑은 고딕"/>
        <family val="3"/>
        <charset val="129"/>
        <scheme val="minor"/>
      </rPr>
      <t>favorable</t>
    </r>
    <r>
      <rPr>
        <sz val="11"/>
        <color theme="1"/>
        <rFont val="맑은 고딕"/>
        <family val="3"/>
        <charset val="129"/>
        <scheme val="minor"/>
      </rPr>
      <t xml:space="preserve"> for outdoor activities this weekend.</t>
    </r>
    <phoneticPr fontId="1" type="noConversion"/>
  </si>
  <si>
    <r>
      <t xml:space="preserve">Pizza is my </t>
    </r>
    <r>
      <rPr>
        <b/>
        <sz val="11"/>
        <color theme="1"/>
        <rFont val="맑은 고딕"/>
        <family val="3"/>
        <charset val="129"/>
        <scheme val="minor"/>
      </rPr>
      <t>favorite</t>
    </r>
    <r>
      <rPr>
        <sz val="11"/>
        <color theme="1"/>
        <rFont val="맑은 고딕"/>
        <family val="3"/>
        <charset val="129"/>
        <scheme val="minor"/>
      </rPr>
      <t xml:space="preserve"> food of all time.</t>
    </r>
    <phoneticPr fontId="1" type="noConversion"/>
  </si>
  <si>
    <t>likely</t>
    <phoneticPr fontId="1" type="noConversion"/>
  </si>
  <si>
    <t>~할 것 같은</t>
    <phoneticPr fontId="1" type="noConversion"/>
  </si>
  <si>
    <t>unlikely</t>
    <phoneticPr fontId="1" type="noConversion"/>
  </si>
  <si>
    <t>~할 것 같지 않은</t>
    <phoneticPr fontId="1" type="noConversion"/>
  </si>
  <si>
    <t>species</t>
    <phoneticPr fontId="1" type="noConversion"/>
  </si>
  <si>
    <t>rather</t>
    <phoneticPr fontId="1" type="noConversion"/>
  </si>
  <si>
    <t>ancient</t>
    <phoneticPr fontId="1" type="noConversion"/>
  </si>
  <si>
    <t>major</t>
    <phoneticPr fontId="1" type="noConversion"/>
  </si>
  <si>
    <t>majority</t>
    <phoneticPr fontId="1" type="noConversion"/>
  </si>
  <si>
    <t>announce</t>
    <phoneticPr fontId="1" type="noConversion"/>
  </si>
  <si>
    <t>due</t>
    <phoneticPr fontId="1" type="noConversion"/>
  </si>
  <si>
    <t>novel</t>
    <phoneticPr fontId="1" type="noConversion"/>
  </si>
  <si>
    <t>comprehension</t>
    <phoneticPr fontId="1" type="noConversion"/>
  </si>
  <si>
    <t>account for</t>
    <phoneticPr fontId="1" type="noConversion"/>
  </si>
  <si>
    <t>sense</t>
    <phoneticPr fontId="1" type="noConversion"/>
  </si>
  <si>
    <t>lack</t>
    <phoneticPr fontId="1" type="noConversion"/>
  </si>
  <si>
    <t>throughout</t>
    <phoneticPr fontId="1" type="noConversion"/>
  </si>
  <si>
    <t>upon</t>
    <phoneticPr fontId="1" type="noConversion"/>
  </si>
  <si>
    <t>unique to</t>
    <phoneticPr fontId="1" type="noConversion"/>
  </si>
  <si>
    <t>further</t>
    <phoneticPr fontId="1" type="noConversion"/>
  </si>
  <si>
    <t>religious</t>
    <phoneticPr fontId="1" type="noConversion"/>
  </si>
  <si>
    <t>decades</t>
    <phoneticPr fontId="1" type="noConversion"/>
  </si>
  <si>
    <t>whole</t>
    <phoneticPr fontId="1" type="noConversion"/>
  </si>
  <si>
    <t>finding</t>
    <phoneticPr fontId="1" type="noConversion"/>
  </si>
  <si>
    <t>labor</t>
    <phoneticPr fontId="1" type="noConversion"/>
  </si>
  <si>
    <t>mayor</t>
    <phoneticPr fontId="1" type="noConversion"/>
  </si>
  <si>
    <t>prior</t>
    <phoneticPr fontId="1" type="noConversion"/>
  </si>
  <si>
    <t>priority</t>
    <phoneticPr fontId="1" type="noConversion"/>
  </si>
  <si>
    <t>fee</t>
    <phoneticPr fontId="1" type="noConversion"/>
  </si>
  <si>
    <t>bill</t>
    <phoneticPr fontId="1" type="noConversion"/>
  </si>
  <si>
    <t>a number of</t>
    <phoneticPr fontId="1" type="noConversion"/>
  </si>
  <si>
    <t>the number of</t>
    <phoneticPr fontId="1" type="noConversion"/>
  </si>
  <si>
    <t>force</t>
    <phoneticPr fontId="1" type="noConversion"/>
  </si>
  <si>
    <t>deem</t>
    <phoneticPr fontId="1" type="noConversion"/>
  </si>
  <si>
    <t>fad</t>
    <phoneticPr fontId="1" type="noConversion"/>
  </si>
  <si>
    <t>strive</t>
    <phoneticPr fontId="1" type="noConversion"/>
  </si>
  <si>
    <t>cutting edge</t>
    <phoneticPr fontId="1" type="noConversion"/>
  </si>
  <si>
    <t>transparent</t>
    <phoneticPr fontId="1" type="noConversion"/>
  </si>
  <si>
    <t>novelty</t>
    <phoneticPr fontId="1" type="noConversion"/>
  </si>
  <si>
    <t>encounter</t>
    <phoneticPr fontId="1" type="noConversion"/>
  </si>
  <si>
    <t>alter</t>
    <phoneticPr fontId="1" type="noConversion"/>
  </si>
  <si>
    <t>inaugual</t>
    <phoneticPr fontId="1" type="noConversion"/>
  </si>
  <si>
    <t>gracious</t>
    <phoneticPr fontId="1" type="noConversion"/>
  </si>
  <si>
    <t>obscure</t>
    <phoneticPr fontId="1" type="noConversion"/>
  </si>
  <si>
    <t>acclaim</t>
    <phoneticPr fontId="1" type="noConversion"/>
  </si>
  <si>
    <t>adaptation</t>
    <phoneticPr fontId="1" type="noConversion"/>
  </si>
  <si>
    <t>modest</t>
    <phoneticPr fontId="1" type="noConversion"/>
  </si>
  <si>
    <t>testament</t>
    <phoneticPr fontId="1" type="noConversion"/>
  </si>
  <si>
    <t>assessment</t>
    <phoneticPr fontId="1" type="noConversion"/>
  </si>
  <si>
    <t>deserve</t>
    <phoneticPr fontId="1" type="noConversion"/>
  </si>
  <si>
    <t>turn to</t>
    <phoneticPr fontId="1" type="noConversion"/>
  </si>
  <si>
    <t>detached</t>
    <phoneticPr fontId="1" type="noConversion"/>
  </si>
  <si>
    <t>constituent</t>
    <phoneticPr fontId="1" type="noConversion"/>
  </si>
  <si>
    <t>overlook</t>
    <phoneticPr fontId="1" type="noConversion"/>
  </si>
  <si>
    <t>obligation</t>
    <phoneticPr fontId="1" type="noConversion"/>
  </si>
  <si>
    <t>affiliation</t>
    <phoneticPr fontId="1" type="noConversion"/>
  </si>
  <si>
    <t>in other words</t>
    <phoneticPr fontId="1" type="noConversion"/>
  </si>
  <si>
    <t>fairly</t>
    <phoneticPr fontId="1" type="noConversion"/>
  </si>
  <si>
    <t>convention</t>
    <phoneticPr fontId="1" type="noConversion"/>
  </si>
  <si>
    <t>disdain</t>
    <phoneticPr fontId="1" type="noConversion"/>
  </si>
  <si>
    <t>establishment</t>
    <phoneticPr fontId="1" type="noConversion"/>
  </si>
  <si>
    <t>outdated</t>
    <phoneticPr fontId="1" type="noConversion"/>
  </si>
  <si>
    <t>denounce</t>
    <phoneticPr fontId="1" type="noConversion"/>
  </si>
  <si>
    <t>mellow</t>
    <phoneticPr fontId="1" type="noConversion"/>
  </si>
  <si>
    <t>outlook</t>
    <phoneticPr fontId="1" type="noConversion"/>
  </si>
  <si>
    <t>a string of</t>
    <phoneticPr fontId="1" type="noConversion"/>
  </si>
  <si>
    <t>prestigious</t>
    <phoneticPr fontId="1" type="noConversion"/>
  </si>
  <si>
    <t>rebellious</t>
    <phoneticPr fontId="1" type="noConversion"/>
  </si>
  <si>
    <t>institution</t>
    <phoneticPr fontId="1" type="noConversion"/>
  </si>
  <si>
    <t>deride</t>
    <phoneticPr fontId="1" type="noConversion"/>
  </si>
  <si>
    <t>emerge</t>
    <phoneticPr fontId="1" type="noConversion"/>
  </si>
  <si>
    <t>conform</t>
    <phoneticPr fontId="1" type="noConversion"/>
  </si>
  <si>
    <t>turn out</t>
    <phoneticPr fontId="1" type="noConversion"/>
  </si>
  <si>
    <t>embrace</t>
    <phoneticPr fontId="1" type="noConversion"/>
  </si>
  <si>
    <t>condemn</t>
    <phoneticPr fontId="1" type="noConversion"/>
  </si>
  <si>
    <t>regime</t>
    <phoneticPr fontId="1" type="noConversion"/>
  </si>
  <si>
    <t>autocratic</t>
    <phoneticPr fontId="1" type="noConversion"/>
  </si>
  <si>
    <t>staunch</t>
    <phoneticPr fontId="1" type="noConversion"/>
  </si>
  <si>
    <t>downright</t>
    <phoneticPr fontId="1" type="noConversion"/>
  </si>
  <si>
    <t>tendency</t>
    <phoneticPr fontId="1" type="noConversion"/>
  </si>
  <si>
    <t>종</t>
    <phoneticPr fontId="1" type="noConversion"/>
  </si>
  <si>
    <t>약간, 좀</t>
    <phoneticPr fontId="1" type="noConversion"/>
  </si>
  <si>
    <t>고대의</t>
    <phoneticPr fontId="1" type="noConversion"/>
  </si>
  <si>
    <t>다수</t>
    <phoneticPr fontId="1" type="noConversion"/>
  </si>
  <si>
    <t>알리다, 발표하다</t>
    <phoneticPr fontId="1" type="noConversion"/>
  </si>
  <si>
    <t>마땅한</t>
    <phoneticPr fontId="1" type="noConversion"/>
  </si>
  <si>
    <t>새로운</t>
    <phoneticPr fontId="1" type="noConversion"/>
  </si>
  <si>
    <t>이해력</t>
    <phoneticPr fontId="1" type="noConversion"/>
  </si>
  <si>
    <t>포괄적인</t>
    <phoneticPr fontId="1" type="noConversion"/>
  </si>
  <si>
    <t>설명하다, 차지하다</t>
    <phoneticPr fontId="1" type="noConversion"/>
  </si>
  <si>
    <t>감각</t>
    <phoneticPr fontId="1" type="noConversion"/>
  </si>
  <si>
    <t>부족</t>
    <phoneticPr fontId="1" type="noConversion"/>
  </si>
  <si>
    <t>~동안 쭉, 내내</t>
    <phoneticPr fontId="1" type="noConversion"/>
  </si>
  <si>
    <t>~위에</t>
    <phoneticPr fontId="1" type="noConversion"/>
  </si>
  <si>
    <t>~에 독특한</t>
    <phoneticPr fontId="1" type="noConversion"/>
  </si>
  <si>
    <t>더 멀리에</t>
    <phoneticPr fontId="1" type="noConversion"/>
  </si>
  <si>
    <t>종교의</t>
    <phoneticPr fontId="1" type="noConversion"/>
  </si>
  <si>
    <t>변명, 용서하다</t>
    <phoneticPr fontId="1" type="noConversion"/>
  </si>
  <si>
    <t>수십년</t>
    <phoneticPr fontId="1" type="noConversion"/>
  </si>
  <si>
    <t>전체의</t>
    <phoneticPr fontId="1" type="noConversion"/>
  </si>
  <si>
    <t>노동, 근로</t>
    <phoneticPr fontId="1" type="noConversion"/>
  </si>
  <si>
    <t>시장</t>
    <phoneticPr fontId="1" type="noConversion"/>
  </si>
  <si>
    <t>사전의</t>
    <phoneticPr fontId="1" type="noConversion"/>
  </si>
  <si>
    <t>우선 사항</t>
    <phoneticPr fontId="1" type="noConversion"/>
  </si>
  <si>
    <t>수수료</t>
    <phoneticPr fontId="1" type="noConversion"/>
  </si>
  <si>
    <t>계산서</t>
    <phoneticPr fontId="1" type="noConversion"/>
  </si>
  <si>
    <t>강요하다</t>
    <phoneticPr fontId="1" type="noConversion"/>
  </si>
  <si>
    <t>판단하다</t>
    <phoneticPr fontId="1" type="noConversion"/>
  </si>
  <si>
    <t>유행</t>
    <phoneticPr fontId="1" type="noConversion"/>
  </si>
  <si>
    <t>분투하다</t>
    <phoneticPr fontId="1" type="noConversion"/>
  </si>
  <si>
    <t>최첨단의</t>
    <phoneticPr fontId="1" type="noConversion"/>
  </si>
  <si>
    <t>투명한</t>
    <phoneticPr fontId="1" type="noConversion"/>
  </si>
  <si>
    <t>신기함</t>
    <phoneticPr fontId="1" type="noConversion"/>
  </si>
  <si>
    <t>만남</t>
    <phoneticPr fontId="1" type="noConversion"/>
  </si>
  <si>
    <t>바꾸다</t>
    <phoneticPr fontId="1" type="noConversion"/>
  </si>
  <si>
    <t>첫번째의</t>
    <phoneticPr fontId="1" type="noConversion"/>
  </si>
  <si>
    <t>우아한, 정중한</t>
    <phoneticPr fontId="1" type="noConversion"/>
  </si>
  <si>
    <t>모호한</t>
    <phoneticPr fontId="1" type="noConversion"/>
  </si>
  <si>
    <t>찬사, 호평</t>
    <phoneticPr fontId="1" type="noConversion"/>
  </si>
  <si>
    <t>각색</t>
    <phoneticPr fontId="1" type="noConversion"/>
  </si>
  <si>
    <t>겸손한</t>
    <phoneticPr fontId="1" type="noConversion"/>
  </si>
  <si>
    <t>증거, 입증</t>
    <phoneticPr fontId="1" type="noConversion"/>
  </si>
  <si>
    <t>평가</t>
    <phoneticPr fontId="1" type="noConversion"/>
  </si>
  <si>
    <t>자격, 마땅히</t>
    <phoneticPr fontId="1" type="noConversion"/>
  </si>
  <si>
    <t>의지하다</t>
    <phoneticPr fontId="1" type="noConversion"/>
  </si>
  <si>
    <t>분리된, 고립된</t>
    <phoneticPr fontId="1" type="noConversion"/>
  </si>
  <si>
    <t>유권자</t>
    <phoneticPr fontId="1" type="noConversion"/>
  </si>
  <si>
    <t>간과하다</t>
    <phoneticPr fontId="1" type="noConversion"/>
  </si>
  <si>
    <t>의무</t>
    <phoneticPr fontId="1" type="noConversion"/>
  </si>
  <si>
    <t>관계, 소속</t>
    <phoneticPr fontId="1" type="noConversion"/>
  </si>
  <si>
    <t>다시말해</t>
    <phoneticPr fontId="1" type="noConversion"/>
  </si>
  <si>
    <t>꽤, 공평하게, 적절하게</t>
    <phoneticPr fontId="1" type="noConversion"/>
  </si>
  <si>
    <t>협약, 회의</t>
    <phoneticPr fontId="1" type="noConversion"/>
  </si>
  <si>
    <t>경멸하다</t>
    <phoneticPr fontId="1" type="noConversion"/>
  </si>
  <si>
    <t>기득권층</t>
    <phoneticPr fontId="1" type="noConversion"/>
  </si>
  <si>
    <t>비난하다</t>
    <phoneticPr fontId="1" type="noConversion"/>
  </si>
  <si>
    <t>온건해지다</t>
    <phoneticPr fontId="1" type="noConversion"/>
  </si>
  <si>
    <t>관점</t>
    <phoneticPr fontId="1" type="noConversion"/>
  </si>
  <si>
    <t>일련의</t>
    <phoneticPr fontId="1" type="noConversion"/>
  </si>
  <si>
    <t>권위있는</t>
    <phoneticPr fontId="1" type="noConversion"/>
  </si>
  <si>
    <t>반항적인</t>
    <phoneticPr fontId="1" type="noConversion"/>
  </si>
  <si>
    <t>제도</t>
    <phoneticPr fontId="1" type="noConversion"/>
  </si>
  <si>
    <t>조롱하다</t>
    <phoneticPr fontId="1" type="noConversion"/>
  </si>
  <si>
    <t>나타나다</t>
    <phoneticPr fontId="1" type="noConversion"/>
  </si>
  <si>
    <t>따르다, 일치하다</t>
    <phoneticPr fontId="1" type="noConversion"/>
  </si>
  <si>
    <t>밝혀지다</t>
    <phoneticPr fontId="1" type="noConversion"/>
  </si>
  <si>
    <t>포용하다, 받아들이다</t>
    <phoneticPr fontId="1" type="noConversion"/>
  </si>
  <si>
    <t>정권</t>
    <phoneticPr fontId="1" type="noConversion"/>
  </si>
  <si>
    <t>독재적인</t>
    <phoneticPr fontId="1" type="noConversion"/>
  </si>
  <si>
    <t>확고한</t>
    <phoneticPr fontId="1" type="noConversion"/>
  </si>
  <si>
    <t>거부하다</t>
    <phoneticPr fontId="1" type="noConversion"/>
  </si>
  <si>
    <t>완전히</t>
    <phoneticPr fontId="1" type="noConversion"/>
  </si>
  <si>
    <t>경향, 추세</t>
    <phoneticPr fontId="1" type="noConversion"/>
  </si>
  <si>
    <t>📌 접속부사는 접속사가 아님! → 두 절을 연결 못함. 반드시 세미콜론(;) 또는 마침표(.) 뒤에 사용</t>
  </si>
  <si>
    <t>📌 핵심 구별법: 빈칸 뒤에 S+V → 접속사  |  빈칸 뒤에 명사/동명사 → 전치사  |  앞 문장 완결 + , → 접속부사</t>
  </si>
  <si>
    <t>alternatively (대안으로)
in fact (사실)
for example (예를 들어)</t>
  </si>
  <si>
    <t>according to (~에 따르면)
regarding (~에 관하여)
concerning (~에 관하여)</t>
  </si>
  <si>
    <t>as if / as though
(마치 ~인 것처럼)
wherever (~하는 곳 어디든)</t>
  </si>
  <si>
    <t>기타</t>
  </si>
  <si>
    <t>접속부사만 있는 의미!
→ 빈칸 출제 多</t>
  </si>
  <si>
    <t>furthermore (게다가)
moreover (더욱이)
in addition (게다가)
also (또한)
besides (게다가)</t>
  </si>
  <si>
    <t>in addition to (~에 더하여)
apart from (~외에도)</t>
  </si>
  <si>
    <t>부가·추가
게다가</t>
  </si>
  <si>
    <t>while/whereas + S+V
→ 대조 접속사!</t>
  </si>
  <si>
    <t>however (그러나)
on the other hand (반면에)
in contrast (대조적으로)
conversely (반대로)
instead (대신에)</t>
  </si>
  <si>
    <t>while (~인 반면)
whereas (~인 반면)</t>
  </si>
  <si>
    <t>대조·반면
~인 반면</t>
  </si>
  <si>
    <t>so that + S + can/will
→ 목적 표현!</t>
  </si>
  <si>
    <t>therefore (그러므로)
as a result (결과적으로)
consequently (결과적으로)
accordingly (따라서)</t>
  </si>
  <si>
    <t>for (~을 위해)
in order to (~하기 위해)</t>
  </si>
  <si>
    <t>so that (~하기 위해)
in order that (~하기 위해)
so ~ that (너무~해서)</t>
  </si>
  <si>
    <t>결과·목적
~하기 위해</t>
  </si>
  <si>
    <t>unless = if ~ not
→ 부정 중복 주의!</t>
  </si>
  <si>
    <t>otherwise (그렇지 않으면)</t>
  </si>
  <si>
    <t>in case of (~의 경우에)
without (~없이)</t>
  </si>
  <si>
    <t>if (만약 ~라면)
unless (~하지 않는 한)
provided (that) (~라면)
as long as (~하는 한)
in case (~의 경우에)
even if (설사 ~라도)
only if (오직 ~할 때만)
whether ~ or (~이든 아니든)</t>
  </si>
  <si>
    <t>조건
~한다면</t>
  </si>
  <si>
    <t>although + S+V
despite + 명사
→ 최빈출 유형!</t>
  </si>
  <si>
    <t>however (그러나)
nevertheless (그럼에도)
nonetheless (그럼에도)</t>
  </si>
  <si>
    <t>despite (~에도 불구하고)
in spite of (~에도 불구하고)</t>
  </si>
  <si>
    <t>although (~에도 불구하고)
though (~이지만)
even though (~에도 불구하고)
while (~인 반면에)
whereas (~인 반면에)</t>
  </si>
  <si>
    <t>양보
~에도 불구하고</t>
  </si>
  <si>
    <t>because + S+V
because of + 명사
→ 시험 단골!</t>
  </si>
  <si>
    <t>therefore (그러므로)
thus (따라서)
hence (그래서)
consequently (결과적으로)</t>
  </si>
  <si>
    <t>because of (~때문에)
due to (~때문에)
on account of (~때문에)</t>
  </si>
  <si>
    <t>because (~때문에)
since (~이므로)
now that (~이니까)
as (~이므로)</t>
  </si>
  <si>
    <t>원인·이유
~때문에</t>
  </si>
  <si>
    <t>during + 명사 (기간)
while + S+V
→ 가장 자주 출제!</t>
  </si>
  <si>
    <t>meanwhile (그 동안에)
then (그때, 그 다음에)</t>
  </si>
  <si>
    <t>during (~동안)
before (~전에)
after (~후에)
until (~까지)</t>
  </si>
  <si>
    <t>when (~ 할 때)
while (~하는 동안)
as (~할 때, ~하면서)
before (~전에)
after (~후에)
until (~까지)
once (~하자마자)
as soon as (~하자마자)</t>
  </si>
  <si>
    <t>시간
~할 때, ~하는 동안</t>
  </si>
  <si>
    <t>암기 TIP</t>
  </si>
  <si>
    <t>접속부사 (부사)</t>
  </si>
  <si>
    <t>전치사 (+ 명사)</t>
  </si>
  <si>
    <t>접속사 (+ S+V)</t>
  </si>
  <si>
    <t>의미 분류</t>
  </si>
  <si>
    <t>★ 접속사 + 주어+동사 (S+V)  |  전치사 + 명사/동명사  |  접속부사 = 부사(문장 연결X, 앞에 ; 또는 . 필요)</t>
  </si>
  <si>
    <t>부사절 접속사 / 전치사 / 접속부사 총정리</t>
  </si>
  <si>
    <t>품사</t>
  </si>
  <si>
    <t>when</t>
    <phoneticPr fontId="1" type="noConversion"/>
  </si>
  <si>
    <t>while</t>
    <phoneticPr fontId="1" type="noConversion"/>
  </si>
  <si>
    <t>as</t>
    <phoneticPr fontId="1" type="noConversion"/>
  </si>
  <si>
    <t>before</t>
    <phoneticPr fontId="1" type="noConversion"/>
  </si>
  <si>
    <t>after</t>
    <phoneticPr fontId="1" type="noConversion"/>
  </si>
  <si>
    <t>until</t>
    <phoneticPr fontId="1" type="noConversion"/>
  </si>
  <si>
    <t>once</t>
    <phoneticPr fontId="1" type="noConversion"/>
  </si>
  <si>
    <t>as soon as</t>
    <phoneticPr fontId="1" type="noConversion"/>
  </si>
  <si>
    <t>because</t>
    <phoneticPr fontId="1" type="noConversion"/>
  </si>
  <si>
    <t>since</t>
    <phoneticPr fontId="1" type="noConversion"/>
  </si>
  <si>
    <t>now that</t>
    <phoneticPr fontId="1" type="noConversion"/>
  </si>
  <si>
    <t>although</t>
    <phoneticPr fontId="1" type="noConversion"/>
  </si>
  <si>
    <t>though</t>
    <phoneticPr fontId="1" type="noConversion"/>
  </si>
  <si>
    <t>eventhough</t>
    <phoneticPr fontId="1" type="noConversion"/>
  </si>
  <si>
    <t>whereas</t>
    <phoneticPr fontId="1" type="noConversion"/>
  </si>
  <si>
    <t>if</t>
    <phoneticPr fontId="1" type="noConversion"/>
  </si>
  <si>
    <t>unless</t>
    <phoneticPr fontId="1" type="noConversion"/>
  </si>
  <si>
    <t>provided (that)</t>
    <phoneticPr fontId="1" type="noConversion"/>
  </si>
  <si>
    <t>as long as</t>
    <phoneticPr fontId="1" type="noConversion"/>
  </si>
  <si>
    <t>in case</t>
    <phoneticPr fontId="1" type="noConversion"/>
  </si>
  <si>
    <t>even if</t>
    <phoneticPr fontId="1" type="noConversion"/>
  </si>
  <si>
    <t>only if</t>
    <phoneticPr fontId="1" type="noConversion"/>
  </si>
  <si>
    <t>wherther ~ or</t>
    <phoneticPr fontId="1" type="noConversion"/>
  </si>
  <si>
    <t>so that</t>
    <phoneticPr fontId="1" type="noConversion"/>
  </si>
  <si>
    <t>in order that</t>
    <phoneticPr fontId="1" type="noConversion"/>
  </si>
  <si>
    <t>so ~ that</t>
    <phoneticPr fontId="1" type="noConversion"/>
  </si>
  <si>
    <t>~할 때</t>
    <phoneticPr fontId="1" type="noConversion"/>
  </si>
  <si>
    <t>~하는 동안</t>
    <phoneticPr fontId="1" type="noConversion"/>
  </si>
  <si>
    <t>~인 반면에(대조)</t>
    <phoneticPr fontId="1" type="noConversion"/>
  </si>
  <si>
    <t>~할 때, ~하면서</t>
    <phoneticPr fontId="1" type="noConversion"/>
  </si>
  <si>
    <t>~하기 전에</t>
    <phoneticPr fontId="1" type="noConversion"/>
  </si>
  <si>
    <t>~한 후에</t>
    <phoneticPr fontId="1" type="noConversion"/>
  </si>
  <si>
    <t>일단 ~하면</t>
    <phoneticPr fontId="1" type="noConversion"/>
  </si>
  <si>
    <t>~하자마자</t>
    <phoneticPr fontId="1" type="noConversion"/>
  </si>
  <si>
    <t>~때문에</t>
    <phoneticPr fontId="1" type="noConversion"/>
  </si>
  <si>
    <t>~이므로(이유)</t>
    <phoneticPr fontId="1" type="noConversion"/>
  </si>
  <si>
    <t>(이제) ~이니까</t>
    <phoneticPr fontId="1" type="noConversion"/>
  </si>
  <si>
    <t>~임에도 불구하고</t>
    <phoneticPr fontId="1" type="noConversion"/>
  </si>
  <si>
    <t>~이지만</t>
    <phoneticPr fontId="1" type="noConversion"/>
  </si>
  <si>
    <t>비록 ~일지라도</t>
    <phoneticPr fontId="1" type="noConversion"/>
  </si>
  <si>
    <t>만약 ~라면</t>
    <phoneticPr fontId="1" type="noConversion"/>
  </si>
  <si>
    <t>~하지 않는 한</t>
    <phoneticPr fontId="1" type="noConversion"/>
  </si>
  <si>
    <t>~라는 조건하에</t>
    <phoneticPr fontId="1" type="noConversion"/>
  </si>
  <si>
    <t>~하는 한</t>
    <phoneticPr fontId="1" type="noConversion"/>
  </si>
  <si>
    <t>~할 경우에 대비해</t>
    <phoneticPr fontId="1" type="noConversion"/>
  </si>
  <si>
    <t>설사 ~라 하더라도</t>
    <phoneticPr fontId="1" type="noConversion"/>
  </si>
  <si>
    <t>오직 ~할 때만</t>
    <phoneticPr fontId="1" type="noConversion"/>
  </si>
  <si>
    <t>~이든 아니든</t>
    <phoneticPr fontId="1" type="noConversion"/>
  </si>
  <si>
    <t>~하기 위해서(목적)</t>
    <phoneticPr fontId="1" type="noConversion"/>
  </si>
  <si>
    <t>~하기 위해서</t>
    <phoneticPr fontId="1" type="noConversion"/>
  </si>
  <si>
    <t>너무 ~해서 .. 하다(결과)</t>
    <phoneticPr fontId="1" type="noConversion"/>
  </si>
  <si>
    <t>부사절 접속사</t>
    <phoneticPr fontId="1" type="noConversion"/>
  </si>
  <si>
    <r>
      <rPr>
        <b/>
        <sz val="11"/>
        <color rgb="FF000000"/>
        <rFont val="맑은 고딕"/>
        <family val="3"/>
        <charset val="129"/>
        <scheme val="minor"/>
      </rPr>
      <t>When</t>
    </r>
    <r>
      <rPr>
        <sz val="11"/>
        <color rgb="FF000000"/>
        <rFont val="맑은 고딕"/>
        <family val="3"/>
        <charset val="129"/>
        <scheme val="minor"/>
      </rPr>
      <t xml:space="preserve"> I arrived at the station, the train had already left.</t>
    </r>
    <phoneticPr fontId="1" type="noConversion"/>
  </si>
  <si>
    <r>
      <t xml:space="preserve">She listened to music </t>
    </r>
    <r>
      <rPr>
        <b/>
        <sz val="11"/>
        <color rgb="FF000000"/>
        <rFont val="맑은 고딕"/>
        <family val="3"/>
        <charset val="129"/>
        <scheme val="minor"/>
      </rPr>
      <t>while</t>
    </r>
    <r>
      <rPr>
        <sz val="11"/>
        <color rgb="FF000000"/>
        <rFont val="맑은 고딕"/>
        <family val="3"/>
        <charset val="129"/>
        <scheme val="minor"/>
      </rPr>
      <t xml:space="preserve"> she was studying.</t>
    </r>
    <phoneticPr fontId="1" type="noConversion"/>
  </si>
  <si>
    <r>
      <rPr>
        <b/>
        <sz val="11"/>
        <color rgb="FF000000"/>
        <rFont val="맑은 고딕"/>
        <family val="3"/>
        <charset val="129"/>
        <scheme val="minor"/>
      </rPr>
      <t>While</t>
    </r>
    <r>
      <rPr>
        <sz val="11"/>
        <color rgb="FF000000"/>
        <rFont val="맑은 고딕"/>
        <family val="3"/>
        <charset val="129"/>
        <scheme val="minor"/>
      </rPr>
      <t xml:space="preserve"> Tom is outgoing, his brother is very shy.</t>
    </r>
    <phoneticPr fontId="1" type="noConversion"/>
  </si>
  <si>
    <r>
      <rPr>
        <b/>
        <sz val="11"/>
        <color rgb="FF000000"/>
        <rFont val="맑은 고딕"/>
        <family val="3"/>
        <charset val="129"/>
        <scheme val="minor"/>
      </rPr>
      <t>As</t>
    </r>
    <r>
      <rPr>
        <sz val="11"/>
        <color rgb="FF000000"/>
        <rFont val="맑은 고딕"/>
        <family val="3"/>
        <charset val="129"/>
        <scheme val="minor"/>
      </rPr>
      <t xml:space="preserve"> I was walking home, I ran into an old friend.</t>
    </r>
    <phoneticPr fontId="1" type="noConversion"/>
  </si>
  <si>
    <r>
      <rPr>
        <b/>
        <sz val="11"/>
        <color rgb="FF000000"/>
        <rFont val="맑은 고딕"/>
        <family val="3"/>
        <charset val="129"/>
        <scheme val="minor"/>
      </rPr>
      <t>As</t>
    </r>
    <r>
      <rPr>
        <sz val="11"/>
        <color rgb="FF000000"/>
        <rFont val="맑은 고딕"/>
        <family val="3"/>
        <charset val="129"/>
        <scheme val="minor"/>
      </rPr>
      <t xml:space="preserve"> it was raining heavily, we decided to stay indoors.</t>
    </r>
    <phoneticPr fontId="1" type="noConversion"/>
  </si>
  <si>
    <r>
      <t xml:space="preserve">You should finish your homework </t>
    </r>
    <r>
      <rPr>
        <b/>
        <sz val="11"/>
        <color rgb="FF000000"/>
        <rFont val="맑은 고딕"/>
        <family val="3"/>
        <charset val="129"/>
        <scheme val="minor"/>
      </rPr>
      <t>before</t>
    </r>
    <r>
      <rPr>
        <sz val="11"/>
        <color rgb="FF000000"/>
        <rFont val="맑은 고딕"/>
        <family val="3"/>
        <charset val="129"/>
        <scheme val="minor"/>
      </rPr>
      <t xml:space="preserve"> you go out.</t>
    </r>
    <phoneticPr fontId="1" type="noConversion"/>
  </si>
  <si>
    <r>
      <rPr>
        <b/>
        <sz val="11"/>
        <color rgb="FF000000"/>
        <rFont val="맑은 고딕"/>
        <family val="3"/>
        <charset val="129"/>
        <scheme val="minor"/>
      </rPr>
      <t>After</t>
    </r>
    <r>
      <rPr>
        <sz val="11"/>
        <color rgb="FF000000"/>
        <rFont val="맑은 고딕"/>
        <family val="3"/>
        <charset val="129"/>
        <scheme val="minor"/>
      </rPr>
      <t xml:space="preserve"> she graduated from college, she moved to New York.</t>
    </r>
    <phoneticPr fontId="1" type="noConversion"/>
  </si>
  <si>
    <r>
      <t xml:space="preserve">I will wait here </t>
    </r>
    <r>
      <rPr>
        <b/>
        <sz val="11"/>
        <color rgb="FF000000"/>
        <rFont val="맑은 고딕"/>
        <family val="3"/>
        <charset val="129"/>
        <scheme val="minor"/>
      </rPr>
      <t>until</t>
    </r>
    <r>
      <rPr>
        <sz val="11"/>
        <color rgb="FF000000"/>
        <rFont val="맑은 고딕"/>
        <family val="3"/>
        <charset val="129"/>
        <scheme val="minor"/>
      </rPr>
      <t xml:space="preserve"> you come back.</t>
    </r>
    <phoneticPr fontId="1" type="noConversion"/>
  </si>
  <si>
    <t>~할 때까지</t>
    <phoneticPr fontId="1" type="noConversion"/>
  </si>
  <si>
    <r>
      <rPr>
        <b/>
        <sz val="11"/>
        <color rgb="FF000000"/>
        <rFont val="맑은 고딕"/>
        <family val="3"/>
        <charset val="129"/>
        <scheme val="minor"/>
      </rPr>
      <t>Once</t>
    </r>
    <r>
      <rPr>
        <sz val="11"/>
        <color rgb="FF000000"/>
        <rFont val="맑은 고딕"/>
        <family val="3"/>
        <charset val="129"/>
        <scheme val="minor"/>
      </rPr>
      <t xml:space="preserve"> you understand the basics, everything becomes easier.</t>
    </r>
    <phoneticPr fontId="1" type="noConversion"/>
  </si>
  <si>
    <r>
      <rPr>
        <b/>
        <sz val="11"/>
        <color rgb="FF000000"/>
        <rFont val="맑은 고딕"/>
        <family val="3"/>
        <charset val="129"/>
        <scheme val="minor"/>
      </rPr>
      <t>As soon as</t>
    </r>
    <r>
      <rPr>
        <sz val="11"/>
        <color rgb="FF000000"/>
        <rFont val="맑은 고딕"/>
        <family val="3"/>
        <charset val="129"/>
        <scheme val="minor"/>
      </rPr>
      <t xml:space="preserve"> I heard the news, I called my parents.</t>
    </r>
    <phoneticPr fontId="1" type="noConversion"/>
  </si>
  <si>
    <r>
      <t xml:space="preserve">He was late </t>
    </r>
    <r>
      <rPr>
        <b/>
        <sz val="11"/>
        <color rgb="FF000000"/>
        <rFont val="맑은 고딕"/>
        <family val="3"/>
        <charset val="129"/>
        <scheme val="minor"/>
      </rPr>
      <t>because</t>
    </r>
    <r>
      <rPr>
        <sz val="11"/>
        <color rgb="FF000000"/>
        <rFont val="맑은 고딕"/>
        <family val="3"/>
        <charset val="129"/>
        <scheme val="minor"/>
      </rPr>
      <t xml:space="preserve"> he missed the bus.</t>
    </r>
    <phoneticPr fontId="1" type="noConversion"/>
  </si>
  <si>
    <r>
      <rPr>
        <b/>
        <sz val="11"/>
        <color rgb="FF000000"/>
        <rFont val="맑은 고딕"/>
        <family val="3"/>
        <charset val="129"/>
        <scheme val="minor"/>
      </rPr>
      <t>Since</t>
    </r>
    <r>
      <rPr>
        <sz val="11"/>
        <color rgb="FF000000"/>
        <rFont val="맑은 고딕"/>
        <family val="3"/>
        <charset val="129"/>
        <scheme val="minor"/>
      </rPr>
      <t xml:space="preserve"> she had no experience, she struggled at first.</t>
    </r>
    <phoneticPr fontId="1" type="noConversion"/>
  </si>
  <si>
    <r>
      <rPr>
        <b/>
        <sz val="11"/>
        <color rgb="FF000000"/>
        <rFont val="맑은 고딕"/>
        <family val="3"/>
        <charset val="129"/>
        <scheme val="minor"/>
      </rPr>
      <t>Now that</t>
    </r>
    <r>
      <rPr>
        <sz val="11"/>
        <color rgb="FF000000"/>
        <rFont val="맑은 고딕"/>
        <family val="3"/>
        <charset val="129"/>
        <scheme val="minor"/>
      </rPr>
      <t xml:space="preserve"> you have a car, you can drive to work.</t>
    </r>
    <phoneticPr fontId="1" type="noConversion"/>
  </si>
  <si>
    <r>
      <rPr>
        <b/>
        <sz val="11"/>
        <color rgb="FF000000"/>
        <rFont val="맑은 고딕"/>
        <family val="3"/>
        <charset val="129"/>
        <scheme val="minor"/>
      </rPr>
      <t>Although</t>
    </r>
    <r>
      <rPr>
        <sz val="11"/>
        <color rgb="FF000000"/>
        <rFont val="맑은 고딕"/>
        <family val="3"/>
        <charset val="129"/>
        <scheme val="minor"/>
      </rPr>
      <t xml:space="preserve"> he studied hard, he failed the exam.</t>
    </r>
    <phoneticPr fontId="1" type="noConversion"/>
  </si>
  <si>
    <r>
      <rPr>
        <b/>
        <sz val="11"/>
        <color rgb="FF000000"/>
        <rFont val="맑은 고딕"/>
        <family val="3"/>
        <charset val="129"/>
        <scheme val="minor"/>
      </rPr>
      <t>Though</t>
    </r>
    <r>
      <rPr>
        <sz val="11"/>
        <color rgb="FF000000"/>
        <rFont val="맑은 고딕"/>
        <family val="3"/>
        <charset val="129"/>
        <scheme val="minor"/>
      </rPr>
      <t xml:space="preserve"> it was expensive, I decided to buy it.</t>
    </r>
    <phoneticPr fontId="1" type="noConversion"/>
  </si>
  <si>
    <r>
      <rPr>
        <b/>
        <sz val="11"/>
        <color rgb="FF000000"/>
        <rFont val="맑은 고딕"/>
        <family val="3"/>
        <charset val="129"/>
        <scheme val="minor"/>
      </rPr>
      <t>Even though</t>
    </r>
    <r>
      <rPr>
        <sz val="11"/>
        <color rgb="FF000000"/>
        <rFont val="맑은 고딕"/>
        <family val="3"/>
        <charset val="129"/>
        <scheme val="minor"/>
      </rPr>
      <t xml:space="preserve"> she was tired, she kept working.</t>
    </r>
    <phoneticPr fontId="1" type="noConversion"/>
  </si>
  <si>
    <r>
      <t xml:space="preserve">He loves coffee, </t>
    </r>
    <r>
      <rPr>
        <b/>
        <sz val="11"/>
        <color rgb="FF000000"/>
        <rFont val="맑은 고딕"/>
        <family val="3"/>
        <charset val="129"/>
        <scheme val="minor"/>
      </rPr>
      <t>whereas</t>
    </r>
    <r>
      <rPr>
        <sz val="11"/>
        <color rgb="FF000000"/>
        <rFont val="맑은 고딕"/>
        <family val="3"/>
        <charset val="129"/>
        <scheme val="minor"/>
      </rPr>
      <t xml:space="preserve"> his wife prefers tea.</t>
    </r>
    <phoneticPr fontId="1" type="noConversion"/>
  </si>
  <si>
    <r>
      <rPr>
        <b/>
        <sz val="11"/>
        <color rgb="FF000000"/>
        <rFont val="맑은 고딕"/>
        <family val="3"/>
        <charset val="129"/>
        <scheme val="minor"/>
      </rPr>
      <t>If</t>
    </r>
    <r>
      <rPr>
        <sz val="11"/>
        <color rgb="FF000000"/>
        <rFont val="맑은 고딕"/>
        <family val="3"/>
        <charset val="129"/>
        <scheme val="minor"/>
      </rPr>
      <t xml:space="preserve"> it rains tomorrow, we will cancel the picnic.</t>
    </r>
    <phoneticPr fontId="1" type="noConversion"/>
  </si>
  <si>
    <r>
      <rPr>
        <b/>
        <sz val="11"/>
        <color rgb="FF000000"/>
        <rFont val="맑은 고딕"/>
        <family val="3"/>
        <charset val="129"/>
        <scheme val="minor"/>
      </rPr>
      <t>Unless</t>
    </r>
    <r>
      <rPr>
        <sz val="11"/>
        <color rgb="FF000000"/>
        <rFont val="맑은 고딕"/>
        <family val="3"/>
        <charset val="129"/>
        <scheme val="minor"/>
      </rPr>
      <t xml:space="preserve"> you hurry, you will miss the flight.</t>
    </r>
    <phoneticPr fontId="1" type="noConversion"/>
  </si>
  <si>
    <r>
      <t xml:space="preserve">You can borrow my car </t>
    </r>
    <r>
      <rPr>
        <b/>
        <sz val="11"/>
        <color rgb="FF000000"/>
        <rFont val="맑은 고딕"/>
        <family val="3"/>
        <charset val="129"/>
        <scheme val="minor"/>
      </rPr>
      <t>provided that</t>
    </r>
    <r>
      <rPr>
        <sz val="11"/>
        <color rgb="FF000000"/>
        <rFont val="맑은 고딕"/>
        <family val="3"/>
        <charset val="129"/>
        <scheme val="minor"/>
      </rPr>
      <t xml:space="preserve"> you drive carefully.</t>
    </r>
    <phoneticPr fontId="1" type="noConversion"/>
  </si>
  <si>
    <r>
      <t xml:space="preserve">You can stay here </t>
    </r>
    <r>
      <rPr>
        <b/>
        <sz val="11"/>
        <color rgb="FF000000"/>
        <rFont val="맑은 고딕"/>
        <family val="3"/>
        <charset val="129"/>
        <scheme val="minor"/>
      </rPr>
      <t>as long as</t>
    </r>
    <r>
      <rPr>
        <sz val="11"/>
        <color rgb="FF000000"/>
        <rFont val="맑은 고딕"/>
        <family val="3"/>
        <charset val="129"/>
        <scheme val="minor"/>
      </rPr>
      <t xml:space="preserve"> you follow the rules.</t>
    </r>
    <phoneticPr fontId="1" type="noConversion"/>
  </si>
  <si>
    <r>
      <t xml:space="preserve">Take an umbrella </t>
    </r>
    <r>
      <rPr>
        <b/>
        <sz val="11"/>
        <color rgb="FF000000"/>
        <rFont val="맑은 고딕"/>
        <family val="3"/>
        <charset val="129"/>
        <scheme val="minor"/>
      </rPr>
      <t>in case</t>
    </r>
    <r>
      <rPr>
        <sz val="11"/>
        <color rgb="FF000000"/>
        <rFont val="맑은 고딕"/>
        <family val="3"/>
        <charset val="129"/>
        <scheme val="minor"/>
      </rPr>
      <t xml:space="preserve"> it rains later.</t>
    </r>
    <phoneticPr fontId="1" type="noConversion"/>
  </si>
  <si>
    <r>
      <rPr>
        <b/>
        <sz val="11"/>
        <color rgb="FF000000"/>
        <rFont val="맑은 고딕"/>
        <family val="3"/>
        <charset val="129"/>
        <scheme val="minor"/>
      </rPr>
      <t>Even if</t>
    </r>
    <r>
      <rPr>
        <sz val="11"/>
        <color rgb="FF000000"/>
        <rFont val="맑은 고딕"/>
        <family val="3"/>
        <charset val="129"/>
        <scheme val="minor"/>
      </rPr>
      <t xml:space="preserve"> I fail, I will not give up.</t>
    </r>
    <phoneticPr fontId="1" type="noConversion"/>
  </si>
  <si>
    <r>
      <t xml:space="preserve">You can enter </t>
    </r>
    <r>
      <rPr>
        <b/>
        <sz val="11"/>
        <color rgb="FF000000"/>
        <rFont val="맑은 고딕"/>
        <family val="3"/>
        <charset val="129"/>
        <scheme val="minor"/>
      </rPr>
      <t>only if</t>
    </r>
    <r>
      <rPr>
        <sz val="11"/>
        <color rgb="FF000000"/>
        <rFont val="맑은 고딕"/>
        <family val="3"/>
        <charset val="129"/>
        <scheme val="minor"/>
      </rPr>
      <t xml:space="preserve"> you have a valid ticket.</t>
    </r>
    <phoneticPr fontId="1" type="noConversion"/>
  </si>
  <si>
    <r>
      <rPr>
        <b/>
        <sz val="11"/>
        <color rgb="FF000000"/>
        <rFont val="맑은 고딕"/>
        <family val="3"/>
        <charset val="129"/>
        <scheme val="minor"/>
      </rPr>
      <t>Whether</t>
    </r>
    <r>
      <rPr>
        <sz val="11"/>
        <color rgb="FF000000"/>
        <rFont val="맑은 고딕"/>
        <family val="3"/>
        <charset val="129"/>
        <scheme val="minor"/>
      </rPr>
      <t xml:space="preserve"> you agree </t>
    </r>
    <r>
      <rPr>
        <b/>
        <sz val="11"/>
        <color rgb="FF000000"/>
        <rFont val="맑은 고딕"/>
        <family val="3"/>
        <charset val="129"/>
        <scheme val="minor"/>
      </rPr>
      <t>or</t>
    </r>
    <r>
      <rPr>
        <sz val="11"/>
        <color rgb="FF000000"/>
        <rFont val="맑은 고딕"/>
        <family val="3"/>
        <charset val="129"/>
        <scheme val="minor"/>
      </rPr>
      <t xml:space="preserve"> not, the decision has been made.</t>
    </r>
    <phoneticPr fontId="1" type="noConversion"/>
  </si>
  <si>
    <r>
      <t xml:space="preserve">She spoke loudly </t>
    </r>
    <r>
      <rPr>
        <b/>
        <sz val="11"/>
        <color rgb="FF000000"/>
        <rFont val="맑은 고딕"/>
        <family val="3"/>
        <charset val="129"/>
        <scheme val="minor"/>
      </rPr>
      <t>so that</t>
    </r>
    <r>
      <rPr>
        <sz val="11"/>
        <color rgb="FF000000"/>
        <rFont val="맑은 고딕"/>
        <family val="3"/>
        <charset val="129"/>
        <scheme val="minor"/>
      </rPr>
      <t xml:space="preserve"> everyone could hear her.</t>
    </r>
    <phoneticPr fontId="1" type="noConversion"/>
  </si>
  <si>
    <r>
      <t xml:space="preserve">He left early </t>
    </r>
    <r>
      <rPr>
        <b/>
        <sz val="11"/>
        <color rgb="FF000000"/>
        <rFont val="맑은 고딕"/>
        <family val="3"/>
        <charset val="129"/>
        <scheme val="minor"/>
      </rPr>
      <t>in order that</t>
    </r>
    <r>
      <rPr>
        <sz val="11"/>
        <color rgb="FF000000"/>
        <rFont val="맑은 고딕"/>
        <family val="3"/>
        <charset val="129"/>
        <scheme val="minor"/>
      </rPr>
      <t xml:space="preserve"> he could catch the first train.</t>
    </r>
    <phoneticPr fontId="1" type="noConversion"/>
  </si>
  <si>
    <r>
      <t xml:space="preserve">The movie was </t>
    </r>
    <r>
      <rPr>
        <b/>
        <sz val="11"/>
        <color rgb="FF000000"/>
        <rFont val="맑은 고딕"/>
        <family val="3"/>
        <charset val="129"/>
        <scheme val="minor"/>
      </rPr>
      <t>so</t>
    </r>
    <r>
      <rPr>
        <sz val="11"/>
        <color rgb="FF000000"/>
        <rFont val="맑은 고딕"/>
        <family val="3"/>
        <charset val="129"/>
        <scheme val="minor"/>
      </rPr>
      <t xml:space="preserve"> boring </t>
    </r>
    <r>
      <rPr>
        <b/>
        <sz val="11"/>
        <color rgb="FF000000"/>
        <rFont val="맑은 고딕"/>
        <family val="3"/>
        <charset val="129"/>
        <scheme val="minor"/>
      </rPr>
      <t>that</t>
    </r>
    <r>
      <rPr>
        <sz val="11"/>
        <color rgb="FF000000"/>
        <rFont val="맑은 고딕"/>
        <family val="3"/>
        <charset val="129"/>
        <scheme val="minor"/>
      </rPr>
      <t xml:space="preserve"> I fell asleep.</t>
    </r>
    <phoneticPr fontId="1" type="noConversion"/>
  </si>
  <si>
    <t>during</t>
    <phoneticPr fontId="1" type="noConversion"/>
  </si>
  <si>
    <t>because of</t>
    <phoneticPr fontId="1" type="noConversion"/>
  </si>
  <si>
    <t>due to</t>
    <phoneticPr fontId="1" type="noConversion"/>
  </si>
  <si>
    <t>on account of</t>
    <phoneticPr fontId="1" type="noConversion"/>
  </si>
  <si>
    <t>despite</t>
    <phoneticPr fontId="1" type="noConversion"/>
  </si>
  <si>
    <t>in spite of</t>
    <phoneticPr fontId="1" type="noConversion"/>
  </si>
  <si>
    <t>in case of</t>
    <phoneticPr fontId="1" type="noConversion"/>
  </si>
  <si>
    <t>without</t>
    <phoneticPr fontId="1" type="noConversion"/>
  </si>
  <si>
    <t>for</t>
    <phoneticPr fontId="1" type="noConversion"/>
  </si>
  <si>
    <t>in order to</t>
    <phoneticPr fontId="1" type="noConversion"/>
  </si>
  <si>
    <t>in addition to</t>
    <phoneticPr fontId="1" type="noConversion"/>
  </si>
  <si>
    <t>aprat from</t>
    <phoneticPr fontId="1" type="noConversion"/>
  </si>
  <si>
    <t>according to</t>
    <phoneticPr fontId="1" type="noConversion"/>
  </si>
  <si>
    <t>regarding</t>
    <phoneticPr fontId="1" type="noConversion"/>
  </si>
  <si>
    <t>concerning</t>
    <phoneticPr fontId="1" type="noConversion"/>
  </si>
  <si>
    <t>~전에</t>
    <phoneticPr fontId="1" type="noConversion"/>
  </si>
  <si>
    <t>~후에</t>
    <phoneticPr fontId="1" type="noConversion"/>
  </si>
  <si>
    <t>~까지</t>
    <phoneticPr fontId="1" type="noConversion"/>
  </si>
  <si>
    <t>~동안</t>
    <phoneticPr fontId="1" type="noConversion"/>
  </si>
  <si>
    <t>~의 경우에</t>
    <phoneticPr fontId="1" type="noConversion"/>
  </si>
  <si>
    <t>~없이</t>
    <phoneticPr fontId="1" type="noConversion"/>
  </si>
  <si>
    <t>~을 위해</t>
    <phoneticPr fontId="1" type="noConversion"/>
  </si>
  <si>
    <t>~하기 위해</t>
    <phoneticPr fontId="1" type="noConversion"/>
  </si>
  <si>
    <t>~에 더하여</t>
    <phoneticPr fontId="1" type="noConversion"/>
  </si>
  <si>
    <t>~외에도</t>
    <phoneticPr fontId="1" type="noConversion"/>
  </si>
  <si>
    <t>~에 따르면</t>
    <phoneticPr fontId="1" type="noConversion"/>
  </si>
  <si>
    <t>~에 관하여</t>
    <phoneticPr fontId="1" type="noConversion"/>
  </si>
  <si>
    <t>전치사</t>
    <phoneticPr fontId="1" type="noConversion"/>
  </si>
  <si>
    <t>meanwhile</t>
    <phoneticPr fontId="1" type="noConversion"/>
  </si>
  <si>
    <t>then</t>
    <phoneticPr fontId="1" type="noConversion"/>
  </si>
  <si>
    <t>therefore</t>
    <phoneticPr fontId="1" type="noConversion"/>
  </si>
  <si>
    <t>thus</t>
    <phoneticPr fontId="1" type="noConversion"/>
  </si>
  <si>
    <t>hence</t>
    <phoneticPr fontId="1" type="noConversion"/>
  </si>
  <si>
    <t>consequently</t>
    <phoneticPr fontId="1" type="noConversion"/>
  </si>
  <si>
    <t>however</t>
    <phoneticPr fontId="1" type="noConversion"/>
  </si>
  <si>
    <t>nevertheless</t>
    <phoneticPr fontId="1" type="noConversion"/>
  </si>
  <si>
    <t>nontheless</t>
    <phoneticPr fontId="1" type="noConversion"/>
  </si>
  <si>
    <t>otherwise</t>
    <phoneticPr fontId="1" type="noConversion"/>
  </si>
  <si>
    <t>as a result</t>
    <phoneticPr fontId="1" type="noConversion"/>
  </si>
  <si>
    <t>accordingly</t>
    <phoneticPr fontId="1" type="noConversion"/>
  </si>
  <si>
    <t>on the other hand</t>
    <phoneticPr fontId="1" type="noConversion"/>
  </si>
  <si>
    <t>in contrast</t>
    <phoneticPr fontId="1" type="noConversion"/>
  </si>
  <si>
    <t>conversely</t>
    <phoneticPr fontId="1" type="noConversion"/>
  </si>
  <si>
    <t>instead</t>
    <phoneticPr fontId="1" type="noConversion"/>
  </si>
  <si>
    <t>moreover</t>
    <phoneticPr fontId="1" type="noConversion"/>
  </si>
  <si>
    <t>in addition</t>
    <phoneticPr fontId="1" type="noConversion"/>
  </si>
  <si>
    <t>also</t>
    <phoneticPr fontId="1" type="noConversion"/>
  </si>
  <si>
    <t>besides</t>
    <phoneticPr fontId="1" type="noConversion"/>
  </si>
  <si>
    <t>alternatively</t>
    <phoneticPr fontId="1" type="noConversion"/>
  </si>
  <si>
    <t>in fact</t>
    <phoneticPr fontId="1" type="noConversion"/>
  </si>
  <si>
    <t>for example</t>
    <phoneticPr fontId="1" type="noConversion"/>
  </si>
  <si>
    <t>그 동안에</t>
    <phoneticPr fontId="1" type="noConversion"/>
  </si>
  <si>
    <t>그때, 그 다음에</t>
    <phoneticPr fontId="1" type="noConversion"/>
  </si>
  <si>
    <t>그러므로</t>
    <phoneticPr fontId="1" type="noConversion"/>
  </si>
  <si>
    <t>따라서</t>
    <phoneticPr fontId="1" type="noConversion"/>
  </si>
  <si>
    <t>그래서</t>
    <phoneticPr fontId="1" type="noConversion"/>
  </si>
  <si>
    <t>결과적으로</t>
    <phoneticPr fontId="1" type="noConversion"/>
  </si>
  <si>
    <t>그러나</t>
    <phoneticPr fontId="1" type="noConversion"/>
  </si>
  <si>
    <t>그럼에도</t>
    <phoneticPr fontId="1" type="noConversion"/>
  </si>
  <si>
    <t>그렇지 않으면</t>
    <phoneticPr fontId="1" type="noConversion"/>
  </si>
  <si>
    <t>반면에</t>
    <phoneticPr fontId="1" type="noConversion"/>
  </si>
  <si>
    <t>대조적으로</t>
    <phoneticPr fontId="1" type="noConversion"/>
  </si>
  <si>
    <t>반대로</t>
    <phoneticPr fontId="1" type="noConversion"/>
  </si>
  <si>
    <t>대신에</t>
    <phoneticPr fontId="1" type="noConversion"/>
  </si>
  <si>
    <t>게다가</t>
    <phoneticPr fontId="1" type="noConversion"/>
  </si>
  <si>
    <t>더욱이</t>
    <phoneticPr fontId="1" type="noConversion"/>
  </si>
  <si>
    <t>또한</t>
    <phoneticPr fontId="1" type="noConversion"/>
  </si>
  <si>
    <t>대안으로</t>
    <phoneticPr fontId="1" type="noConversion"/>
  </si>
  <si>
    <t>사실</t>
    <phoneticPr fontId="1" type="noConversion"/>
  </si>
  <si>
    <t>예를 들어</t>
    <phoneticPr fontId="1" type="noConversion"/>
  </si>
  <si>
    <t>접속부사</t>
    <phoneticPr fontId="1" type="noConversion"/>
  </si>
  <si>
    <t>He broke the rules; hence, he was punished.</t>
  </si>
  <si>
    <t>She missed the deadline; consequently, she lost the contract.</t>
  </si>
  <si>
    <t>The plan seemed perfect; however, it didn't work out.</t>
  </si>
  <si>
    <t>It was raining hard; nevertheless, they continued hiking.</t>
  </si>
  <si>
    <t>The task was difficult; nonetheless, she completed it on time.</t>
  </si>
  <si>
    <t>You must leave now; otherwise, you will be late.</t>
  </si>
  <si>
    <t>He didn't practice; as a result, he performed poorly.</t>
  </si>
  <si>
    <t>The costs rose sharply; consequently, profits declined.</t>
  </si>
  <si>
    <t>The budget was cut; accordingly, we reduced the staff.</t>
  </si>
  <si>
    <t>She loves the city; on the other hand, he prefers the countryside.</t>
  </si>
  <si>
    <t>The North is cold; in contrast, the South is warm.</t>
  </si>
  <si>
    <t>You might expect him to be angry; conversely, he was quite calm.</t>
  </si>
  <si>
    <t>I didn't go to the party; instead, I stayed home and read.</t>
  </si>
  <si>
    <t>The food was excellent; furthermore, the service was outstanding.</t>
  </si>
  <si>
    <t>He is talented; moreover, he works incredibly hard.</t>
  </si>
  <si>
    <t>The hotel has a pool; in addition, it offers free breakfast.</t>
  </si>
  <si>
    <t>She is smart and also very kind.</t>
  </si>
  <si>
    <t>The work is rewarding; besides, the pay is good.</t>
  </si>
  <si>
    <t>We could take the bus; alternatively, we could walk.</t>
  </si>
  <si>
    <t>He seems quiet, but in fact, he is very talkative.</t>
  </si>
  <si>
    <t>Many countries are multilingual; for example, Switzerland has four official languages.</t>
  </si>
  <si>
    <r>
      <t xml:space="preserve">Please arrive </t>
    </r>
    <r>
      <rPr>
        <b/>
        <sz val="11"/>
        <color rgb="FF000000"/>
        <rFont val="맑은 고딕"/>
        <family val="3"/>
        <charset val="129"/>
        <scheme val="minor"/>
      </rPr>
      <t>before</t>
    </r>
    <r>
      <rPr>
        <sz val="11"/>
        <color rgb="FF000000"/>
        <rFont val="맑은 고딕"/>
        <family val="3"/>
        <charset val="129"/>
        <scheme val="minor"/>
      </rPr>
      <t xml:space="preserve"> noon.</t>
    </r>
    <phoneticPr fontId="1" type="noConversion"/>
  </si>
  <si>
    <r>
      <t xml:space="preserve">We went for a walk </t>
    </r>
    <r>
      <rPr>
        <b/>
        <sz val="11"/>
        <color rgb="FF000000"/>
        <rFont val="맑은 고딕"/>
        <family val="3"/>
        <charset val="129"/>
        <scheme val="minor"/>
      </rPr>
      <t>after</t>
    </r>
    <r>
      <rPr>
        <sz val="11"/>
        <color rgb="FF000000"/>
        <rFont val="맑은 고딕"/>
        <family val="3"/>
        <charset val="129"/>
        <scheme val="minor"/>
      </rPr>
      <t xml:space="preserve"> dinner.</t>
    </r>
    <phoneticPr fontId="1" type="noConversion"/>
  </si>
  <si>
    <r>
      <t xml:space="preserve">The store is open </t>
    </r>
    <r>
      <rPr>
        <b/>
        <sz val="11"/>
        <color rgb="FF000000"/>
        <rFont val="맑은 고딕"/>
        <family val="3"/>
        <charset val="129"/>
        <scheme val="minor"/>
      </rPr>
      <t>until</t>
    </r>
    <r>
      <rPr>
        <sz val="11"/>
        <color rgb="FF000000"/>
        <rFont val="맑은 고딕"/>
        <family val="3"/>
        <charset val="129"/>
        <scheme val="minor"/>
      </rPr>
      <t xml:space="preserve"> 9 p.m.</t>
    </r>
    <phoneticPr fontId="1" type="noConversion"/>
  </si>
  <si>
    <r>
      <t xml:space="preserve">She fell asleep </t>
    </r>
    <r>
      <rPr>
        <b/>
        <sz val="11"/>
        <color rgb="FF000000"/>
        <rFont val="맑은 고딕"/>
        <family val="3"/>
        <charset val="129"/>
        <scheme val="minor"/>
      </rPr>
      <t>during</t>
    </r>
    <r>
      <rPr>
        <sz val="11"/>
        <color rgb="FF000000"/>
        <rFont val="맑은 고딕"/>
        <family val="3"/>
        <charset val="129"/>
        <scheme val="minor"/>
      </rPr>
      <t xml:space="preserve"> the lecture.</t>
    </r>
    <phoneticPr fontId="1" type="noConversion"/>
  </si>
  <si>
    <r>
      <t xml:space="preserve">The game was canceled </t>
    </r>
    <r>
      <rPr>
        <b/>
        <sz val="11"/>
        <color rgb="FF000000"/>
        <rFont val="맑은 고딕"/>
        <family val="3"/>
        <charset val="129"/>
        <scheme val="minor"/>
      </rPr>
      <t>because of</t>
    </r>
    <r>
      <rPr>
        <sz val="11"/>
        <color rgb="FF000000"/>
        <rFont val="맑은 고딕"/>
        <family val="3"/>
        <charset val="129"/>
        <scheme val="minor"/>
      </rPr>
      <t xml:space="preserve"> the heavy rain.</t>
    </r>
    <phoneticPr fontId="1" type="noConversion"/>
  </si>
  <si>
    <r>
      <t xml:space="preserve">The flight was delayed </t>
    </r>
    <r>
      <rPr>
        <b/>
        <sz val="11"/>
        <color rgb="FF000000"/>
        <rFont val="맑은 고딕"/>
        <family val="3"/>
        <charset val="129"/>
        <scheme val="minor"/>
      </rPr>
      <t>due to</t>
    </r>
    <r>
      <rPr>
        <sz val="11"/>
        <color rgb="FF000000"/>
        <rFont val="맑은 고딕"/>
        <family val="3"/>
        <charset val="129"/>
        <scheme val="minor"/>
      </rPr>
      <t xml:space="preserve"> bad weather.</t>
    </r>
    <phoneticPr fontId="1" type="noConversion"/>
  </si>
  <si>
    <r>
      <t xml:space="preserve">The event was postponed </t>
    </r>
    <r>
      <rPr>
        <b/>
        <sz val="11"/>
        <color rgb="FF000000"/>
        <rFont val="맑은 고딕"/>
        <family val="3"/>
        <charset val="129"/>
        <scheme val="minor"/>
      </rPr>
      <t>on account of</t>
    </r>
    <r>
      <rPr>
        <sz val="11"/>
        <color rgb="FF000000"/>
        <rFont val="맑은 고딕"/>
        <family val="3"/>
        <charset val="129"/>
        <scheme val="minor"/>
      </rPr>
      <t xml:space="preserve"> safety concerns.</t>
    </r>
    <phoneticPr fontId="1" type="noConversion"/>
  </si>
  <si>
    <r>
      <rPr>
        <b/>
        <sz val="11"/>
        <color rgb="FF000000"/>
        <rFont val="맑은 고딕"/>
        <family val="3"/>
        <charset val="129"/>
        <scheme val="minor"/>
      </rPr>
      <t>Despite</t>
    </r>
    <r>
      <rPr>
        <sz val="11"/>
        <color rgb="FF000000"/>
        <rFont val="맑은 고딕"/>
        <family val="3"/>
        <charset val="129"/>
        <scheme val="minor"/>
      </rPr>
      <t xml:space="preserve"> the difficulties, she never gave up.</t>
    </r>
    <phoneticPr fontId="1" type="noConversion"/>
  </si>
  <si>
    <r>
      <rPr>
        <b/>
        <sz val="11"/>
        <color rgb="FF000000"/>
        <rFont val="맑은 고딕"/>
        <family val="3"/>
        <charset val="129"/>
        <scheme val="minor"/>
      </rPr>
      <t>In spite of</t>
    </r>
    <r>
      <rPr>
        <sz val="11"/>
        <color rgb="FF000000"/>
        <rFont val="맑은 고딕"/>
        <family val="3"/>
        <charset val="129"/>
        <scheme val="minor"/>
      </rPr>
      <t xml:space="preserve"> his injury, he finished the marathon.</t>
    </r>
    <phoneticPr fontId="1" type="noConversion"/>
  </si>
  <si>
    <r>
      <rPr>
        <b/>
        <sz val="11"/>
        <color rgb="FF000000"/>
        <rFont val="맑은 고딕"/>
        <family val="3"/>
        <charset val="129"/>
        <scheme val="minor"/>
      </rPr>
      <t>In case of</t>
    </r>
    <r>
      <rPr>
        <sz val="11"/>
        <color rgb="FF000000"/>
        <rFont val="맑은 고딕"/>
        <family val="3"/>
        <charset val="129"/>
        <scheme val="minor"/>
      </rPr>
      <t xml:space="preserve"> fire, use the emergency exit.</t>
    </r>
    <phoneticPr fontId="1" type="noConversion"/>
  </si>
  <si>
    <r>
      <t xml:space="preserve">He left the house </t>
    </r>
    <r>
      <rPr>
        <b/>
        <sz val="11"/>
        <color rgb="FF000000"/>
        <rFont val="맑은 고딕"/>
        <family val="3"/>
        <charset val="129"/>
        <scheme val="minor"/>
      </rPr>
      <t>without</t>
    </r>
    <r>
      <rPr>
        <sz val="11"/>
        <color rgb="FF000000"/>
        <rFont val="맑은 고딕"/>
        <family val="3"/>
        <charset val="129"/>
        <scheme val="minor"/>
      </rPr>
      <t xml:space="preserve"> his wallet.</t>
    </r>
    <phoneticPr fontId="1" type="noConversion"/>
  </si>
  <si>
    <r>
      <t xml:space="preserve">This gift is </t>
    </r>
    <r>
      <rPr>
        <b/>
        <sz val="11"/>
        <color rgb="FF000000"/>
        <rFont val="맑은 고딕"/>
        <family val="3"/>
        <charset val="129"/>
        <scheme val="minor"/>
      </rPr>
      <t>for</t>
    </r>
    <r>
      <rPr>
        <sz val="11"/>
        <color rgb="FF000000"/>
        <rFont val="맑은 고딕"/>
        <family val="3"/>
        <charset val="129"/>
        <scheme val="minor"/>
      </rPr>
      <t xml:space="preserve"> you.</t>
    </r>
    <phoneticPr fontId="1" type="noConversion"/>
  </si>
  <si>
    <r>
      <t xml:space="preserve">She woke up early </t>
    </r>
    <r>
      <rPr>
        <b/>
        <sz val="11"/>
        <color rgb="FF000000"/>
        <rFont val="맑은 고딕"/>
        <family val="3"/>
        <charset val="129"/>
        <scheme val="minor"/>
      </rPr>
      <t>in order to</t>
    </r>
    <r>
      <rPr>
        <sz val="11"/>
        <color rgb="FF000000"/>
        <rFont val="맑은 고딕"/>
        <family val="3"/>
        <charset val="129"/>
        <scheme val="minor"/>
      </rPr>
      <t xml:space="preserve"> catch the first bus.</t>
    </r>
    <phoneticPr fontId="1" type="noConversion"/>
  </si>
  <si>
    <r>
      <rPr>
        <b/>
        <sz val="11"/>
        <color rgb="FF000000"/>
        <rFont val="맑은 고딕"/>
        <family val="3"/>
        <charset val="129"/>
        <scheme val="minor"/>
      </rPr>
      <t>In addition to</t>
    </r>
    <r>
      <rPr>
        <sz val="11"/>
        <color rgb="FF000000"/>
        <rFont val="맑은 고딕"/>
        <family val="3"/>
        <charset val="129"/>
        <scheme val="minor"/>
      </rPr>
      <t xml:space="preserve"> English, she speaks French and German.</t>
    </r>
    <phoneticPr fontId="1" type="noConversion"/>
  </si>
  <si>
    <r>
      <rPr>
        <b/>
        <sz val="11"/>
        <color rgb="FF000000"/>
        <rFont val="맑은 고딕"/>
        <family val="3"/>
        <charset val="129"/>
        <scheme val="minor"/>
      </rPr>
      <t>Apart from</t>
    </r>
    <r>
      <rPr>
        <sz val="11"/>
        <color rgb="FF000000"/>
        <rFont val="맑은 고딕"/>
        <family val="3"/>
        <charset val="129"/>
        <scheme val="minor"/>
      </rPr>
      <t xml:space="preserve"> the salary, the job offers great benefits.</t>
    </r>
    <phoneticPr fontId="1" type="noConversion"/>
  </si>
  <si>
    <r>
      <rPr>
        <b/>
        <sz val="11"/>
        <color rgb="FF000000"/>
        <rFont val="맑은 고딕"/>
        <family val="3"/>
        <charset val="129"/>
        <scheme val="minor"/>
      </rPr>
      <t>According to</t>
    </r>
    <r>
      <rPr>
        <sz val="11"/>
        <color rgb="FF000000"/>
        <rFont val="맑은 고딕"/>
        <family val="3"/>
        <charset val="129"/>
        <scheme val="minor"/>
      </rPr>
      <t xml:space="preserve"> the report, sales increased by 20%.</t>
    </r>
    <phoneticPr fontId="1" type="noConversion"/>
  </si>
  <si>
    <r>
      <t xml:space="preserve">I have a question </t>
    </r>
    <r>
      <rPr>
        <b/>
        <sz val="11"/>
        <color rgb="FF000000"/>
        <rFont val="맑은 고딕"/>
        <family val="3"/>
        <charset val="129"/>
        <scheme val="minor"/>
      </rPr>
      <t>regarding</t>
    </r>
    <r>
      <rPr>
        <sz val="11"/>
        <color rgb="FF000000"/>
        <rFont val="맑은 고딕"/>
        <family val="3"/>
        <charset val="129"/>
        <scheme val="minor"/>
      </rPr>
      <t xml:space="preserve"> the new policy.</t>
    </r>
    <phoneticPr fontId="1" type="noConversion"/>
  </si>
  <si>
    <r>
      <t xml:space="preserve">There are several issues </t>
    </r>
    <r>
      <rPr>
        <b/>
        <sz val="11"/>
        <color rgb="FF000000"/>
        <rFont val="맑은 고딕"/>
        <family val="3"/>
        <charset val="129"/>
        <scheme val="minor"/>
      </rPr>
      <t>concerning</t>
    </r>
    <r>
      <rPr>
        <sz val="11"/>
        <color rgb="FF000000"/>
        <rFont val="맑은 고딕"/>
        <family val="3"/>
        <charset val="129"/>
        <scheme val="minor"/>
      </rPr>
      <t xml:space="preserve"> public safety.</t>
    </r>
    <phoneticPr fontId="1" type="noConversion"/>
  </si>
  <si>
    <r>
      <t xml:space="preserve">I was cooking; </t>
    </r>
    <r>
      <rPr>
        <b/>
        <sz val="11"/>
        <color rgb="FF000000"/>
        <rFont val="맑은 고딕"/>
        <family val="3"/>
        <charset val="129"/>
        <scheme val="minor"/>
      </rPr>
      <t>meanwhile</t>
    </r>
    <r>
      <rPr>
        <sz val="11"/>
        <color rgb="FF000000"/>
        <rFont val="맑은 고딕"/>
        <family val="3"/>
        <charset val="129"/>
        <scheme val="minor"/>
      </rPr>
      <t>, he was cleaning the house.</t>
    </r>
    <phoneticPr fontId="1" type="noConversion"/>
  </si>
  <si>
    <r>
      <t xml:space="preserve">We had lunch, and </t>
    </r>
    <r>
      <rPr>
        <b/>
        <sz val="11"/>
        <color rgb="FF000000"/>
        <rFont val="맑은 고딕"/>
        <family val="3"/>
        <charset val="129"/>
        <scheme val="minor"/>
      </rPr>
      <t>then</t>
    </r>
    <r>
      <rPr>
        <sz val="11"/>
        <color rgb="FF000000"/>
        <rFont val="맑은 고딕"/>
        <family val="3"/>
        <charset val="129"/>
        <scheme val="minor"/>
      </rPr>
      <t xml:space="preserve"> we went shopping.</t>
    </r>
    <phoneticPr fontId="1" type="noConversion"/>
  </si>
  <si>
    <r>
      <t xml:space="preserve">He didn't study; </t>
    </r>
    <r>
      <rPr>
        <b/>
        <sz val="11"/>
        <color rgb="FF000000"/>
        <rFont val="맑은 고딕"/>
        <family val="3"/>
        <charset val="129"/>
        <scheme val="minor"/>
      </rPr>
      <t>therefore</t>
    </r>
    <r>
      <rPr>
        <sz val="11"/>
        <color rgb="FF000000"/>
        <rFont val="맑은 고딕"/>
        <family val="3"/>
        <charset val="129"/>
        <scheme val="minor"/>
      </rPr>
      <t>, he failed the test.</t>
    </r>
    <phoneticPr fontId="1" type="noConversion"/>
  </si>
  <si>
    <r>
      <t xml:space="preserve">The road was icy; </t>
    </r>
    <r>
      <rPr>
        <b/>
        <sz val="11"/>
        <color rgb="FF000000"/>
        <rFont val="맑은 고딕"/>
        <family val="3"/>
        <charset val="129"/>
        <scheme val="minor"/>
      </rPr>
      <t>thus</t>
    </r>
    <r>
      <rPr>
        <sz val="11"/>
        <color rgb="FF000000"/>
        <rFont val="맑은 고딕"/>
        <family val="3"/>
        <charset val="129"/>
        <scheme val="minor"/>
      </rPr>
      <t>, we drove slowly.</t>
    </r>
    <phoneticPr fontId="1" type="noConversion"/>
  </si>
  <si>
    <t>abandon</t>
    <phoneticPr fontId="1" type="noConversion"/>
  </si>
  <si>
    <t>버리다, 포기하다</t>
    <phoneticPr fontId="1" type="noConversion"/>
  </si>
  <si>
    <t>forsake</t>
    <phoneticPr fontId="1" type="noConversion"/>
  </si>
  <si>
    <t>surrender</t>
    <phoneticPr fontId="1" type="noConversion"/>
  </si>
  <si>
    <t>hand over</t>
    <phoneticPr fontId="1" type="noConversion"/>
  </si>
  <si>
    <t>dump</t>
    <phoneticPr fontId="1" type="noConversion"/>
  </si>
  <si>
    <t>relinquish</t>
    <phoneticPr fontId="1" type="noConversion"/>
  </si>
  <si>
    <t>resign</t>
    <phoneticPr fontId="1" type="noConversion"/>
  </si>
  <si>
    <t>discard</t>
    <phoneticPr fontId="1" type="noConversion"/>
  </si>
  <si>
    <t>desert</t>
    <phoneticPr fontId="1" type="noConversion"/>
  </si>
  <si>
    <t>yield</t>
    <phoneticPr fontId="1" type="noConversion"/>
  </si>
  <si>
    <t>grasp</t>
    <phoneticPr fontId="1" type="noConversion"/>
  </si>
  <si>
    <t>seize</t>
    <phoneticPr fontId="1" type="noConversion"/>
  </si>
  <si>
    <t>grip</t>
    <phoneticPr fontId="1" type="noConversion"/>
  </si>
  <si>
    <t>capture</t>
    <phoneticPr fontId="1" type="noConversion"/>
  </si>
  <si>
    <t>snatch</t>
    <phoneticPr fontId="1" type="noConversion"/>
  </si>
  <si>
    <t>hostage</t>
    <phoneticPr fontId="1" type="noConversion"/>
  </si>
  <si>
    <t>abduct</t>
    <phoneticPr fontId="1" type="noConversion"/>
  </si>
  <si>
    <t>kidnap</t>
    <phoneticPr fontId="1" type="noConversion"/>
  </si>
  <si>
    <t>quit</t>
    <phoneticPr fontId="1" type="noConversion"/>
  </si>
  <si>
    <t>retire</t>
    <phoneticPr fontId="1" type="noConversion"/>
  </si>
  <si>
    <t>seclude</t>
    <phoneticPr fontId="1" type="noConversion"/>
  </si>
  <si>
    <t>feeble</t>
    <phoneticPr fontId="1" type="noConversion"/>
  </si>
  <si>
    <t>wither</t>
    <phoneticPr fontId="1" type="noConversion"/>
  </si>
  <si>
    <t>languish</t>
    <phoneticPr fontId="1" type="noConversion"/>
  </si>
  <si>
    <t>invalid</t>
    <phoneticPr fontId="1" type="noConversion"/>
  </si>
  <si>
    <t>faculty</t>
    <phoneticPr fontId="1" type="noConversion"/>
  </si>
  <si>
    <t>aptitude</t>
    <phoneticPr fontId="1" type="noConversion"/>
  </si>
  <si>
    <t>removal</t>
    <phoneticPr fontId="1" type="noConversion"/>
  </si>
  <si>
    <t>repeal</t>
    <phoneticPr fontId="1" type="noConversion"/>
  </si>
  <si>
    <t>absolve</t>
    <phoneticPr fontId="1" type="noConversion"/>
  </si>
  <si>
    <t>acquit</t>
    <phoneticPr fontId="1" type="noConversion"/>
  </si>
  <si>
    <t>pardon</t>
    <phoneticPr fontId="1" type="noConversion"/>
  </si>
  <si>
    <t>exempt</t>
    <phoneticPr fontId="1" type="noConversion"/>
  </si>
  <si>
    <t>liberty</t>
    <phoneticPr fontId="1" type="noConversion"/>
  </si>
  <si>
    <t>emancipate</t>
    <phoneticPr fontId="1" type="noConversion"/>
  </si>
  <si>
    <t>untie</t>
    <phoneticPr fontId="1" type="noConversion"/>
  </si>
  <si>
    <t>release</t>
    <phoneticPr fontId="1" type="noConversion"/>
  </si>
  <si>
    <t>emancipation</t>
    <phoneticPr fontId="1" type="noConversion"/>
  </si>
  <si>
    <t>absurd</t>
    <phoneticPr fontId="1" type="noConversion"/>
  </si>
  <si>
    <t>foolish</t>
    <phoneticPr fontId="1" type="noConversion"/>
  </si>
  <si>
    <t>dull</t>
    <phoneticPr fontId="1" type="noConversion"/>
  </si>
  <si>
    <t>silly</t>
    <phoneticPr fontId="1" type="noConversion"/>
  </si>
  <si>
    <t>folly</t>
    <phoneticPr fontId="1" type="noConversion"/>
  </si>
  <si>
    <t>commit</t>
    <phoneticPr fontId="1" type="noConversion"/>
  </si>
  <si>
    <t>rational</t>
    <phoneticPr fontId="1" type="noConversion"/>
  </si>
  <si>
    <t>being</t>
    <phoneticPr fontId="1" type="noConversion"/>
  </si>
  <si>
    <t>Day1</t>
    <phoneticPr fontId="1" type="noConversion"/>
  </si>
  <si>
    <t>버리다, 저버리다</t>
    <phoneticPr fontId="1" type="noConversion"/>
  </si>
  <si>
    <t>항복, 넘겨주다</t>
    <phoneticPr fontId="1" type="noConversion"/>
  </si>
  <si>
    <t>넘겨주다</t>
    <phoneticPr fontId="1" type="noConversion"/>
  </si>
  <si>
    <t>내버리다</t>
    <phoneticPr fontId="1" type="noConversion"/>
  </si>
  <si>
    <t>포기하다, 단념하다</t>
    <phoneticPr fontId="1" type="noConversion"/>
  </si>
  <si>
    <t>succession</t>
    <phoneticPr fontId="1" type="noConversion"/>
  </si>
  <si>
    <t>계승, 연속, 계속</t>
    <phoneticPr fontId="1" type="noConversion"/>
  </si>
  <si>
    <t>포기하다, 사임하다</t>
    <phoneticPr fontId="1" type="noConversion"/>
  </si>
  <si>
    <t>버리다, 해고하다</t>
    <phoneticPr fontId="1" type="noConversion"/>
  </si>
  <si>
    <t>버리다, 도망가다 / 사막</t>
    <phoneticPr fontId="1" type="noConversion"/>
  </si>
  <si>
    <t>산출하다, 수확</t>
    <phoneticPr fontId="1" type="noConversion"/>
  </si>
  <si>
    <t>움켜집다, 파악하다</t>
    <phoneticPr fontId="1" type="noConversion"/>
  </si>
  <si>
    <t>사로잡다, 이해하다</t>
    <phoneticPr fontId="1" type="noConversion"/>
  </si>
  <si>
    <t>comprehend</t>
    <phoneticPr fontId="1" type="noConversion"/>
  </si>
  <si>
    <t>이해하다</t>
    <phoneticPr fontId="1" type="noConversion"/>
  </si>
  <si>
    <t>꽉 쥐다, 손잡이</t>
    <phoneticPr fontId="1" type="noConversion"/>
  </si>
  <si>
    <t>잡다, 획득하다</t>
    <phoneticPr fontId="1" type="noConversion"/>
  </si>
  <si>
    <t>잡아채다</t>
    <phoneticPr fontId="1" type="noConversion"/>
  </si>
  <si>
    <t>껴안다, 받아들이다</t>
    <phoneticPr fontId="1" type="noConversion"/>
  </si>
  <si>
    <t>tenderly</t>
    <phoneticPr fontId="1" type="noConversion"/>
  </si>
  <si>
    <t>인질</t>
    <phoneticPr fontId="1" type="noConversion"/>
  </si>
  <si>
    <t>유괴하다</t>
    <phoneticPr fontId="1" type="noConversion"/>
  </si>
  <si>
    <t>그만두다</t>
    <phoneticPr fontId="1" type="noConversion"/>
  </si>
  <si>
    <t>퇴직하다</t>
    <phoneticPr fontId="1" type="noConversion"/>
  </si>
  <si>
    <t>은퇴시키다</t>
    <phoneticPr fontId="1" type="noConversion"/>
  </si>
  <si>
    <t>약한, 쇠약한</t>
    <phoneticPr fontId="1" type="noConversion"/>
  </si>
  <si>
    <t>시들다, 위축시키다</t>
    <phoneticPr fontId="1" type="noConversion"/>
  </si>
  <si>
    <t>시들다, 축 늘어지다</t>
    <phoneticPr fontId="1" type="noConversion"/>
  </si>
  <si>
    <t>무효의</t>
    <phoneticPr fontId="1" type="noConversion"/>
  </si>
  <si>
    <t>능력, 재능</t>
    <phoneticPr fontId="1" type="noConversion"/>
  </si>
  <si>
    <t>재능, 적성</t>
    <phoneticPr fontId="1" type="noConversion"/>
  </si>
  <si>
    <t>철수, 제거</t>
    <phoneticPr fontId="1" type="noConversion"/>
  </si>
  <si>
    <t>무효로 하다, 폐지하다</t>
    <phoneticPr fontId="1" type="noConversion"/>
  </si>
  <si>
    <t>용서하다, 면제하다</t>
    <phoneticPr fontId="1" type="noConversion"/>
  </si>
  <si>
    <t>놓아주다, 석방하다</t>
    <phoneticPr fontId="1" type="noConversion"/>
  </si>
  <si>
    <t>용서하다, 사면하다</t>
    <phoneticPr fontId="1" type="noConversion"/>
  </si>
  <si>
    <t>면제하다</t>
    <phoneticPr fontId="1" type="noConversion"/>
  </si>
  <si>
    <t>자유</t>
    <phoneticPr fontId="1" type="noConversion"/>
  </si>
  <si>
    <t>자유롭게 하다</t>
    <phoneticPr fontId="1" type="noConversion"/>
  </si>
  <si>
    <t>풀다</t>
    <phoneticPr fontId="1" type="noConversion"/>
  </si>
  <si>
    <t>해방하다</t>
    <phoneticPr fontId="1" type="noConversion"/>
  </si>
  <si>
    <t>해방, 이탈</t>
    <phoneticPr fontId="1" type="noConversion"/>
  </si>
  <si>
    <t>어리석은, 불합리한</t>
    <phoneticPr fontId="1" type="noConversion"/>
  </si>
  <si>
    <t>어리석은</t>
    <phoneticPr fontId="1" type="noConversion"/>
  </si>
  <si>
    <t>바보짓</t>
    <phoneticPr fontId="1" type="noConversion"/>
  </si>
  <si>
    <t>이성적인, 합리적인</t>
    <phoneticPr fontId="1" type="noConversion"/>
  </si>
  <si>
    <t>존재, 생물</t>
    <phoneticPr fontId="1" type="noConversion"/>
  </si>
  <si>
    <t>She worked as a clerical assistant at the church office.</t>
  </si>
  <si>
    <r>
      <t xml:space="preserve">The doctor said the </t>
    </r>
    <r>
      <rPr>
        <b/>
        <sz val="11"/>
        <color theme="1"/>
        <rFont val="맑은 고딕"/>
        <family val="3"/>
        <charset val="129"/>
        <scheme val="minor"/>
      </rPr>
      <t>tumor</t>
    </r>
    <r>
      <rPr>
        <sz val="11"/>
        <color theme="1"/>
        <rFont val="맑은 고딕"/>
        <family val="3"/>
        <charset val="129"/>
        <scheme val="minor"/>
      </rPr>
      <t xml:space="preserve"> was benign and not dangerous.</t>
    </r>
    <phoneticPr fontId="1" type="noConversion"/>
  </si>
  <si>
    <t>친절한, 온화로운</t>
    <phoneticPr fontId="1" type="noConversion"/>
  </si>
  <si>
    <r>
      <t xml:space="preserve">He built a strong </t>
    </r>
    <r>
      <rPr>
        <b/>
        <sz val="11"/>
        <color theme="1"/>
        <rFont val="맑은 고딕"/>
        <family val="3"/>
        <charset val="129"/>
        <scheme val="minor"/>
      </rPr>
      <t>reputation</t>
    </r>
    <r>
      <rPr>
        <sz val="11"/>
        <color theme="1"/>
        <rFont val="맑은 고딕"/>
        <family val="3"/>
        <charset val="129"/>
        <scheme val="minor"/>
      </rPr>
      <t xml:space="preserve"> as a reliable business partner.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</si>
  <si>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burglar</t>
    </r>
    <r>
      <rPr>
        <sz val="11"/>
        <color theme="1"/>
        <rFont val="맑은 고딕"/>
        <family val="3"/>
        <charset val="129"/>
        <scheme val="minor"/>
      </rPr>
      <t xml:space="preserve"> broke into the house through the back window.</t>
    </r>
    <phoneticPr fontId="1" type="noConversion"/>
  </si>
  <si>
    <r>
      <t xml:space="preserve">The product didn't live up to all the </t>
    </r>
    <r>
      <rPr>
        <b/>
        <sz val="11"/>
        <color theme="1"/>
        <rFont val="맑은 고딕"/>
        <family val="3"/>
        <charset val="129"/>
        <scheme val="minor"/>
      </rPr>
      <t>hype</t>
    </r>
    <r>
      <rPr>
        <sz val="11"/>
        <color theme="1"/>
        <rFont val="맑은 고딕"/>
        <family val="3"/>
        <charset val="129"/>
        <scheme val="minor"/>
      </rPr>
      <t xml:space="preserve"> surrounding it.</t>
    </r>
    <phoneticPr fontId="1" type="noConversion"/>
  </si>
  <si>
    <t>live up to</t>
    <phoneticPr fontId="1" type="noConversion"/>
  </si>
  <si>
    <t>맞춰살다, 실현하다</t>
    <phoneticPr fontId="1" type="noConversion"/>
  </si>
  <si>
    <r>
      <t xml:space="preserve">The neighbors resolved their </t>
    </r>
    <r>
      <rPr>
        <b/>
        <sz val="11"/>
        <color theme="1"/>
        <rFont val="맑은 고딕"/>
        <family val="3"/>
        <charset val="129"/>
        <scheme val="minor"/>
      </rPr>
      <t>dispute</t>
    </r>
    <r>
      <rPr>
        <sz val="11"/>
        <color theme="1"/>
        <rFont val="맑은 고딕"/>
        <family val="3"/>
        <charset val="129"/>
        <scheme val="minor"/>
      </rPr>
      <t xml:space="preserve"> through mediation.</t>
    </r>
    <phoneticPr fontId="1" type="noConversion"/>
  </si>
  <si>
    <t>mediation</t>
    <phoneticPr fontId="1" type="noConversion"/>
  </si>
  <si>
    <t>중재, 조정</t>
    <phoneticPr fontId="1" type="noConversion"/>
  </si>
  <si>
    <r>
      <t xml:space="preserve">The balloon </t>
    </r>
    <r>
      <rPr>
        <b/>
        <sz val="11"/>
        <color theme="1"/>
        <rFont val="맑은 고딕"/>
        <family val="3"/>
        <charset val="129"/>
        <scheme val="minor"/>
      </rPr>
      <t>burst</t>
    </r>
    <r>
      <rPr>
        <sz val="11"/>
        <color theme="1"/>
        <rFont val="맑은 고딕"/>
        <family val="3"/>
        <charset val="129"/>
        <scheme val="minor"/>
      </rPr>
      <t xml:space="preserve"> when it touched the sharp edge.</t>
    </r>
    <phoneticPr fontId="1" type="noConversion"/>
  </si>
  <si>
    <r>
      <t xml:space="preserve">College </t>
    </r>
    <r>
      <rPr>
        <b/>
        <sz val="11"/>
        <color theme="1"/>
        <rFont val="맑은 고딕"/>
        <family val="3"/>
        <charset val="129"/>
        <scheme val="minor"/>
      </rPr>
      <t>tuition</t>
    </r>
    <r>
      <rPr>
        <sz val="11"/>
        <color theme="1"/>
        <rFont val="맑은 고딕"/>
        <family val="3"/>
        <charset val="129"/>
        <scheme val="minor"/>
      </rPr>
      <t xml:space="preserve"> has increased dramatically over the past decade.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</si>
  <si>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harsh</t>
    </r>
    <r>
      <rPr>
        <sz val="11"/>
        <color theme="1"/>
        <rFont val="맑은 고딕"/>
        <family val="3"/>
        <charset val="129"/>
        <scheme val="minor"/>
      </rPr>
      <t xml:space="preserve"> winter conditions made it difficult to travel.</t>
    </r>
    <phoneticPr fontId="1" type="noConversion"/>
  </si>
  <si>
    <r>
      <t xml:space="preserve">The accident left a permanent </t>
    </r>
    <r>
      <rPr>
        <b/>
        <sz val="11"/>
        <color theme="1"/>
        <rFont val="맑은 고딕"/>
        <family val="3"/>
        <charset val="129"/>
        <scheme val="minor"/>
      </rPr>
      <t>scar</t>
    </r>
    <r>
      <rPr>
        <sz val="11"/>
        <color theme="1"/>
        <rFont val="맑은 고딕"/>
        <family val="3"/>
        <charset val="129"/>
        <scheme val="minor"/>
      </rPr>
      <t xml:space="preserve"> on his arm.</t>
    </r>
    <phoneticPr fontId="1" type="noConversion"/>
  </si>
  <si>
    <r>
      <t xml:space="preserve">Her </t>
    </r>
    <r>
      <rPr>
        <b/>
        <sz val="11"/>
        <color theme="1"/>
        <rFont val="맑은 고딕"/>
        <family val="3"/>
        <charset val="129"/>
        <scheme val="minor"/>
      </rPr>
      <t>flawless</t>
    </r>
    <r>
      <rPr>
        <sz val="11"/>
        <color theme="1"/>
        <rFont val="맑은 고딕"/>
        <family val="3"/>
        <charset val="129"/>
        <scheme val="minor"/>
      </rPr>
      <t xml:space="preserve"> performance earned a perfect score from the judges.</t>
    </r>
    <phoneticPr fontId="1" type="noConversion"/>
  </si>
  <si>
    <r>
      <t xml:space="preserve">The doctor changed his </t>
    </r>
    <r>
      <rPr>
        <b/>
        <sz val="11"/>
        <color theme="1"/>
        <rFont val="맑은 고딕"/>
        <family val="3"/>
        <charset val="129"/>
        <scheme val="minor"/>
      </rPr>
      <t>medication</t>
    </r>
    <r>
      <rPr>
        <sz val="11"/>
        <color theme="1"/>
        <rFont val="맑은 고딕"/>
        <family val="3"/>
        <charset val="129"/>
        <scheme val="minor"/>
      </rPr>
      <t xml:space="preserve"> to reduce side effects.</t>
    </r>
    <phoneticPr fontId="1" type="noConversion"/>
  </si>
  <si>
    <r>
      <t xml:space="preserve">Japan's main </t>
    </r>
    <r>
      <rPr>
        <b/>
        <sz val="11"/>
        <color theme="1"/>
        <rFont val="맑은 고딕"/>
        <family val="3"/>
        <charset val="129"/>
        <scheme val="minor"/>
      </rPr>
      <t>export</t>
    </r>
    <r>
      <rPr>
        <sz val="11"/>
        <color theme="1"/>
        <rFont val="맑은 고딕"/>
        <family val="3"/>
        <charset val="129"/>
        <scheme val="minor"/>
      </rPr>
      <t xml:space="preserve"> is automobiles and electronic equipment.</t>
    </r>
    <phoneticPr fontId="1" type="noConversion"/>
  </si>
  <si>
    <r>
      <t xml:space="preserve">The country relies heavily on the </t>
    </r>
    <r>
      <rPr>
        <b/>
        <sz val="11"/>
        <color theme="1"/>
        <rFont val="맑은 고딕"/>
        <family val="3"/>
        <charset val="129"/>
        <scheme val="minor"/>
      </rPr>
      <t>import</t>
    </r>
    <r>
      <rPr>
        <sz val="11"/>
        <color theme="1"/>
        <rFont val="맑은 고딕"/>
        <family val="3"/>
        <charset val="129"/>
        <scheme val="minor"/>
      </rPr>
      <t xml:space="preserve"> of oil and gas.</t>
    </r>
    <phoneticPr fontId="1" type="noConversion"/>
  </si>
  <si>
    <r>
      <t xml:space="preserve">It is </t>
    </r>
    <r>
      <rPr>
        <b/>
        <sz val="11"/>
        <color theme="1"/>
        <rFont val="맑은 고딕"/>
        <family val="3"/>
        <charset val="129"/>
        <scheme val="minor"/>
      </rPr>
      <t>likely</t>
    </r>
    <r>
      <rPr>
        <sz val="11"/>
        <color theme="1"/>
        <rFont val="맑은 고딕"/>
        <family val="3"/>
        <charset val="129"/>
        <scheme val="minor"/>
      </rPr>
      <t xml:space="preserve"> that the meeting will be postponed until next week.</t>
    </r>
    <phoneticPr fontId="1" type="noConversion"/>
  </si>
  <si>
    <r>
      <t xml:space="preserve">It is </t>
    </r>
    <r>
      <rPr>
        <b/>
        <sz val="11"/>
        <color theme="1"/>
        <rFont val="맑은 고딕"/>
        <family val="3"/>
        <charset val="129"/>
        <scheme val="minor"/>
      </rPr>
      <t>unlikely</t>
    </r>
    <r>
      <rPr>
        <sz val="11"/>
        <color theme="1"/>
        <rFont val="맑은 고딕"/>
        <family val="3"/>
        <charset val="129"/>
        <scheme val="minor"/>
      </rPr>
      <t xml:space="preserve"> that he will finish the project on time.</t>
    </r>
    <phoneticPr fontId="1" type="noConversion"/>
  </si>
  <si>
    <r>
      <t xml:space="preserve">Several </t>
    </r>
    <r>
      <rPr>
        <b/>
        <sz val="11"/>
        <color theme="1"/>
        <rFont val="맑은 고딕"/>
        <family val="3"/>
        <charset val="129"/>
        <scheme val="minor"/>
      </rPr>
      <t>species</t>
    </r>
    <r>
      <rPr>
        <sz val="11"/>
        <color theme="1"/>
        <rFont val="맑은 고딕"/>
        <family val="3"/>
        <charset val="129"/>
        <scheme val="minor"/>
      </rPr>
      <t xml:space="preserve"> of birds are at risk of extinction.</t>
    </r>
    <phoneticPr fontId="1" type="noConversion"/>
  </si>
  <si>
    <r>
      <t xml:space="preserve">The test was </t>
    </r>
    <r>
      <rPr>
        <b/>
        <sz val="11"/>
        <color theme="1"/>
        <rFont val="맑은 고딕"/>
        <family val="3"/>
        <charset val="129"/>
        <scheme val="minor"/>
      </rPr>
      <t>rather</t>
    </r>
    <r>
      <rPr>
        <sz val="11"/>
        <color theme="1"/>
        <rFont val="맑은 고딕"/>
        <family val="3"/>
        <charset val="129"/>
        <scheme val="minor"/>
      </rPr>
      <t xml:space="preserve"> difficult for most of the students.</t>
    </r>
    <phoneticPr fontId="1" type="noConversion"/>
  </si>
  <si>
    <r>
      <t xml:space="preserve">Archaeologists discovered an </t>
    </r>
    <r>
      <rPr>
        <b/>
        <sz val="11"/>
        <color theme="1"/>
        <rFont val="맑은 고딕"/>
        <family val="3"/>
        <charset val="129"/>
        <scheme val="minor"/>
      </rPr>
      <t>ancient</t>
    </r>
    <r>
      <rPr>
        <sz val="11"/>
        <color theme="1"/>
        <rFont val="맑은 고딕"/>
        <family val="3"/>
        <charset val="129"/>
        <scheme val="minor"/>
      </rPr>
      <t xml:space="preserve"> temple buried underground.</t>
    </r>
    <phoneticPr fontId="1" type="noConversion"/>
  </si>
  <si>
    <r>
      <t xml:space="preserve">She played a </t>
    </r>
    <r>
      <rPr>
        <b/>
        <sz val="11"/>
        <color theme="1"/>
        <rFont val="맑은 고딕"/>
        <family val="3"/>
        <charset val="129"/>
        <scheme val="minor"/>
      </rPr>
      <t>major</t>
    </r>
    <r>
      <rPr>
        <sz val="11"/>
        <color theme="1"/>
        <rFont val="맑은 고딕"/>
        <family val="3"/>
        <charset val="129"/>
        <scheme val="minor"/>
      </rPr>
      <t xml:space="preserve"> role in the success of the project.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</si>
  <si>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majority</t>
    </r>
    <r>
      <rPr>
        <sz val="11"/>
        <color theme="1"/>
        <rFont val="맑은 고딕"/>
        <family val="3"/>
        <charset val="129"/>
        <scheme val="minor"/>
      </rPr>
      <t xml:space="preserve"> of students voted in favor of the new policy.</t>
    </r>
    <phoneticPr fontId="1" type="noConversion"/>
  </si>
  <si>
    <r>
      <t xml:space="preserve">The company will </t>
    </r>
    <r>
      <rPr>
        <b/>
        <sz val="11"/>
        <color theme="1"/>
        <rFont val="맑은 고딕"/>
        <family val="3"/>
        <charset val="129"/>
        <scheme val="minor"/>
      </rPr>
      <t>announce</t>
    </r>
    <r>
      <rPr>
        <sz val="11"/>
        <color theme="1"/>
        <rFont val="맑은 고딕"/>
        <family val="3"/>
        <charset val="129"/>
        <scheme val="minor"/>
      </rPr>
      <t xml:space="preserve"> the results of the election tomorrow.</t>
    </r>
    <phoneticPr fontId="1" type="noConversion"/>
  </si>
  <si>
    <r>
      <t xml:space="preserve">The assignment is </t>
    </r>
    <r>
      <rPr>
        <b/>
        <sz val="11"/>
        <color theme="1"/>
        <rFont val="맑은 고딕"/>
        <family val="3"/>
        <charset val="129"/>
        <scheme val="minor"/>
      </rPr>
      <t>due</t>
    </r>
    <r>
      <rPr>
        <sz val="11"/>
        <color theme="1"/>
        <rFont val="맑은 고딕"/>
        <family val="3"/>
        <charset val="129"/>
        <scheme val="minor"/>
      </rPr>
      <t xml:space="preserve"> by Friday at 5 p.m.</t>
    </r>
    <phoneticPr fontId="1" type="noConversion"/>
  </si>
  <si>
    <r>
      <t xml:space="preserve">The scientist proposed a </t>
    </r>
    <r>
      <rPr>
        <b/>
        <sz val="11"/>
        <color theme="1"/>
        <rFont val="맑은 고딕"/>
        <family val="3"/>
        <charset val="129"/>
        <scheme val="minor"/>
      </rPr>
      <t>novel</t>
    </r>
    <r>
      <rPr>
        <sz val="11"/>
        <color theme="1"/>
        <rFont val="맑은 고딕"/>
        <family val="3"/>
        <charset val="129"/>
        <scheme val="minor"/>
      </rPr>
      <t xml:space="preserve"> approach to solving the problem.</t>
    </r>
    <phoneticPr fontId="1" type="noConversion"/>
  </si>
  <si>
    <r>
      <t xml:space="preserve">Reading </t>
    </r>
    <r>
      <rPr>
        <b/>
        <sz val="11"/>
        <color theme="1"/>
        <rFont val="맑은 고딕"/>
        <family val="3"/>
        <charset val="129"/>
        <scheme val="minor"/>
      </rPr>
      <t>comprehension</t>
    </r>
    <r>
      <rPr>
        <sz val="11"/>
        <color theme="1"/>
        <rFont val="맑은 고딕"/>
        <family val="3"/>
        <charset val="129"/>
        <scheme val="minor"/>
      </rPr>
      <t xml:space="preserve"> is a key skill tested on the exam.</t>
    </r>
    <phoneticPr fontId="1" type="noConversion"/>
  </si>
  <si>
    <r>
      <t xml:space="preserve">The report provides a </t>
    </r>
    <r>
      <rPr>
        <b/>
        <sz val="11"/>
        <color theme="1"/>
        <rFont val="맑은 고딕"/>
        <family val="3"/>
        <charset val="129"/>
        <scheme val="minor"/>
      </rPr>
      <t>comprehensive</t>
    </r>
    <r>
      <rPr>
        <sz val="11"/>
        <color theme="1"/>
        <rFont val="맑은 고딕"/>
        <family val="3"/>
        <charset val="129"/>
        <scheme val="minor"/>
      </rPr>
      <t xml:space="preserve"> overview of the industry.</t>
    </r>
    <phoneticPr fontId="1" type="noConversion"/>
  </si>
  <si>
    <r>
      <t xml:space="preserve">Online shopping </t>
    </r>
    <r>
      <rPr>
        <b/>
        <sz val="11"/>
        <color theme="1"/>
        <rFont val="맑은 고딕"/>
        <family val="3"/>
        <charset val="129"/>
        <scheme val="minor"/>
      </rPr>
      <t>accounts for</t>
    </r>
    <r>
      <rPr>
        <sz val="11"/>
        <color theme="1"/>
        <rFont val="맑은 고딕"/>
        <family val="3"/>
        <charset val="129"/>
        <scheme val="minor"/>
      </rPr>
      <t xml:space="preserve"> a large share of retail sales.</t>
    </r>
    <phoneticPr fontId="1" type="noConversion"/>
  </si>
  <si>
    <r>
      <t xml:space="preserve">There is no </t>
    </r>
    <r>
      <rPr>
        <b/>
        <sz val="11"/>
        <color theme="1"/>
        <rFont val="맑은 고딕"/>
        <family val="3"/>
        <charset val="129"/>
        <scheme val="minor"/>
      </rPr>
      <t>sense</t>
    </r>
    <r>
      <rPr>
        <sz val="11"/>
        <color theme="1"/>
        <rFont val="맑은 고딕"/>
        <family val="3"/>
        <charset val="129"/>
        <scheme val="minor"/>
      </rPr>
      <t xml:space="preserve"> in arguing about something we cannot change.</t>
    </r>
    <phoneticPr fontId="1" type="noConversion"/>
  </si>
  <si>
    <r>
      <t xml:space="preserve">A </t>
    </r>
    <r>
      <rPr>
        <b/>
        <sz val="11"/>
        <color theme="1"/>
        <rFont val="맑은 고딕"/>
        <family val="3"/>
        <charset val="129"/>
        <scheme val="minor"/>
      </rPr>
      <t>lack</t>
    </r>
    <r>
      <rPr>
        <sz val="11"/>
        <color theme="1"/>
        <rFont val="맑은 고딕"/>
        <family val="3"/>
        <charset val="129"/>
        <scheme val="minor"/>
      </rPr>
      <t xml:space="preserve"> of sleep can seriously affect your health.</t>
    </r>
    <phoneticPr fontId="1" type="noConversion"/>
  </si>
  <si>
    <r>
      <t xml:space="preserve">It rained </t>
    </r>
    <r>
      <rPr>
        <b/>
        <sz val="11"/>
        <color theme="1"/>
        <rFont val="맑은 고딕"/>
        <family val="3"/>
        <charset val="129"/>
        <scheme val="minor"/>
      </rPr>
      <t>throughout</t>
    </r>
    <r>
      <rPr>
        <sz val="11"/>
        <color theme="1"/>
        <rFont val="맑은 고딕"/>
        <family val="3"/>
        <charset val="129"/>
        <scheme val="minor"/>
      </rPr>
      <t xml:space="preserve"> the entire weekend without stopping.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</si>
  <si>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Upon</t>
    </r>
    <r>
      <rPr>
        <sz val="11"/>
        <color theme="1"/>
        <rFont val="맑은 고딕"/>
        <family val="3"/>
        <charset val="129"/>
        <scheme val="minor"/>
      </rPr>
      <t xml:space="preserve"> arrival at the airport, please proceed to the check-in counter.</t>
    </r>
    <phoneticPr fontId="1" type="noConversion"/>
  </si>
  <si>
    <r>
      <t xml:space="preserve">This custom is </t>
    </r>
    <r>
      <rPr>
        <b/>
        <sz val="11"/>
        <color theme="1"/>
        <rFont val="맑은 고딕"/>
        <family val="3"/>
        <charset val="129"/>
        <scheme val="minor"/>
      </rPr>
      <t>unique to</t>
    </r>
    <r>
      <rPr>
        <sz val="11"/>
        <color theme="1"/>
        <rFont val="맑은 고딕"/>
        <family val="3"/>
        <charset val="129"/>
        <scheme val="minor"/>
      </rPr>
      <t xml:space="preserve"> the indigenous people of the region.</t>
    </r>
    <phoneticPr fontId="1" type="noConversion"/>
  </si>
  <si>
    <t>indigenous</t>
    <phoneticPr fontId="1" type="noConversion"/>
  </si>
  <si>
    <t>고유의, 토착의</t>
    <phoneticPr fontId="1" type="noConversion"/>
  </si>
  <si>
    <r>
      <t xml:space="preserve">We need to investigate the matter </t>
    </r>
    <r>
      <rPr>
        <b/>
        <sz val="11"/>
        <color theme="1"/>
        <rFont val="맑은 고딕"/>
        <family val="3"/>
        <charset val="129"/>
        <scheme val="minor"/>
      </rPr>
      <t>further</t>
    </r>
    <r>
      <rPr>
        <sz val="11"/>
        <color theme="1"/>
        <rFont val="맑은 고딕"/>
        <family val="3"/>
        <charset val="129"/>
        <scheme val="minor"/>
      </rPr>
      <t xml:space="preserve"> before making a decision.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</si>
  <si>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Religious</t>
    </r>
    <r>
      <rPr>
        <sz val="11"/>
        <color theme="1"/>
        <rFont val="맑은 고딕"/>
        <family val="3"/>
        <charset val="129"/>
        <scheme val="minor"/>
      </rPr>
      <t xml:space="preserve"> ceremonies are held every Sunday at the local church.</t>
    </r>
    <phoneticPr fontId="1" type="noConversion"/>
  </si>
  <si>
    <r>
      <t xml:space="preserve">Please </t>
    </r>
    <r>
      <rPr>
        <b/>
        <sz val="11"/>
        <color theme="1"/>
        <rFont val="맑은 고딕"/>
        <family val="3"/>
        <charset val="129"/>
        <scheme val="minor"/>
      </rPr>
      <t>excuse</t>
    </r>
    <r>
      <rPr>
        <sz val="11"/>
        <color theme="1"/>
        <rFont val="맑은 고딕"/>
        <family val="3"/>
        <charset val="129"/>
        <scheme val="minor"/>
      </rPr>
      <t xml:space="preserve"> me for arriving late to the meeting.</t>
    </r>
    <phoneticPr fontId="1" type="noConversion"/>
  </si>
  <si>
    <r>
      <t xml:space="preserve">The country has changed significantly over the past few </t>
    </r>
    <r>
      <rPr>
        <b/>
        <sz val="11"/>
        <color theme="1"/>
        <rFont val="맑은 고딕"/>
        <family val="3"/>
        <charset val="129"/>
        <scheme val="minor"/>
      </rPr>
      <t>decades</t>
    </r>
    <r>
      <rPr>
        <sz val="11"/>
        <color theme="1"/>
        <rFont val="맑은 고딕"/>
        <family val="3"/>
        <charset val="129"/>
        <scheme val="minor"/>
      </rPr>
      <t>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</si>
  <si>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whole</t>
    </r>
    <r>
      <rPr>
        <sz val="11"/>
        <color theme="1"/>
        <rFont val="맑은 고딕"/>
        <family val="3"/>
        <charset val="129"/>
        <scheme val="minor"/>
      </rPr>
      <t xml:space="preserve"> class participated in the science fair.</t>
    </r>
    <phoneticPr fontId="1" type="noConversion"/>
  </si>
  <si>
    <t>fair</t>
    <phoneticPr fontId="1" type="noConversion"/>
  </si>
  <si>
    <t>공정한, 공평한, 박람회</t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</si>
  <si>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findings</t>
    </r>
    <r>
      <rPr>
        <sz val="11"/>
        <color theme="1"/>
        <rFont val="맑은 고딕"/>
        <family val="3"/>
        <charset val="129"/>
        <scheme val="minor"/>
      </rPr>
      <t xml:space="preserve"> of the study were published in a medical journal.</t>
    </r>
    <phoneticPr fontId="1" type="noConversion"/>
  </si>
  <si>
    <r>
      <t xml:space="preserve">Child </t>
    </r>
    <r>
      <rPr>
        <b/>
        <sz val="11"/>
        <color theme="1"/>
        <rFont val="맑은 고딕"/>
        <family val="3"/>
        <charset val="129"/>
        <scheme val="minor"/>
      </rPr>
      <t>labor</t>
    </r>
    <r>
      <rPr>
        <sz val="11"/>
        <color theme="1"/>
        <rFont val="맑은 고딕"/>
        <family val="3"/>
        <charset val="129"/>
        <scheme val="minor"/>
      </rPr>
      <t xml:space="preserve"> is still a serious issue in many developing countries.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</si>
  <si>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mayor</t>
    </r>
    <r>
      <rPr>
        <sz val="11"/>
        <color theme="1"/>
        <rFont val="맑은 고딕"/>
        <family val="3"/>
        <charset val="129"/>
        <scheme val="minor"/>
      </rPr>
      <t xml:space="preserve"> promised to improve public transportation in the city.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</si>
  <si>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Prior</t>
    </r>
    <r>
      <rPr>
        <sz val="11"/>
        <color theme="1"/>
        <rFont val="맑은 고딕"/>
        <family val="3"/>
        <charset val="129"/>
        <scheme val="minor"/>
      </rPr>
      <t xml:space="preserve"> experience in management is required for this position.</t>
    </r>
    <phoneticPr fontId="1" type="noConversion"/>
  </si>
  <si>
    <r>
      <t xml:space="preserve">Safety should be the top </t>
    </r>
    <r>
      <rPr>
        <b/>
        <sz val="11"/>
        <color theme="1"/>
        <rFont val="맑은 고딕"/>
        <family val="3"/>
        <charset val="129"/>
        <scheme val="minor"/>
      </rPr>
      <t>priority</t>
    </r>
    <r>
      <rPr>
        <sz val="11"/>
        <color theme="1"/>
        <rFont val="맑은 고딕"/>
        <family val="3"/>
        <charset val="129"/>
        <scheme val="minor"/>
      </rPr>
      <t xml:space="preserve"> in any workplace.</t>
    </r>
    <phoneticPr fontId="1" type="noConversion"/>
  </si>
  <si>
    <r>
      <t xml:space="preserve">The bank charges a small </t>
    </r>
    <r>
      <rPr>
        <b/>
        <sz val="11"/>
        <color theme="1"/>
        <rFont val="맑은 고딕"/>
        <family val="3"/>
        <charset val="129"/>
        <scheme val="minor"/>
      </rPr>
      <t>fee</t>
    </r>
    <r>
      <rPr>
        <sz val="11"/>
        <color theme="1"/>
        <rFont val="맑은 고딕"/>
        <family val="3"/>
        <charset val="129"/>
        <scheme val="minor"/>
      </rPr>
      <t xml:space="preserve"> for international transfers.</t>
    </r>
    <phoneticPr fontId="1" type="noConversion"/>
  </si>
  <si>
    <r>
      <t xml:space="preserve">Please pay the </t>
    </r>
    <r>
      <rPr>
        <b/>
        <sz val="11"/>
        <color theme="1"/>
        <rFont val="맑은 고딕"/>
        <family val="3"/>
        <charset val="129"/>
        <scheme val="minor"/>
      </rPr>
      <t>bill</t>
    </r>
    <r>
      <rPr>
        <sz val="11"/>
        <color theme="1"/>
        <rFont val="맑은 고딕"/>
        <family val="3"/>
        <charset val="129"/>
        <scheme val="minor"/>
      </rPr>
      <t xml:space="preserve"> at the front desk before leaving.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</si>
  <si>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A number of</t>
    </r>
    <r>
      <rPr>
        <sz val="11"/>
        <color theme="1"/>
        <rFont val="맑은 고딕"/>
        <family val="3"/>
        <charset val="129"/>
        <scheme val="minor"/>
      </rPr>
      <t xml:space="preserve"> students have already submitted their assignments.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</si>
  <si>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The number of</t>
    </r>
    <r>
      <rPr>
        <sz val="11"/>
        <color theme="1"/>
        <rFont val="맑은 고딕"/>
        <family val="3"/>
        <charset val="129"/>
        <scheme val="minor"/>
      </rPr>
      <t xml:space="preserve"> applicants has increased significantly this year.</t>
    </r>
    <phoneticPr fontId="1" type="noConversion"/>
  </si>
  <si>
    <t>~의 수+(복수명사+단수동사)</t>
    <phoneticPr fontId="1" type="noConversion"/>
  </si>
  <si>
    <t>많은 수의+(복수명사+복수동사)</t>
    <phoneticPr fontId="1" type="noConversion"/>
  </si>
  <si>
    <r>
      <t xml:space="preserve">No one can </t>
    </r>
    <r>
      <rPr>
        <b/>
        <sz val="11"/>
        <color theme="1"/>
        <rFont val="맑은 고딕"/>
        <family val="3"/>
        <charset val="129"/>
        <scheme val="minor"/>
      </rPr>
      <t>force</t>
    </r>
    <r>
      <rPr>
        <sz val="11"/>
        <color theme="1"/>
        <rFont val="맑은 고딕"/>
        <family val="3"/>
        <charset val="129"/>
        <scheme val="minor"/>
      </rPr>
      <t xml:space="preserve"> you to do something against your will.</t>
    </r>
    <phoneticPr fontId="1" type="noConversion"/>
  </si>
  <si>
    <t>against</t>
    <phoneticPr fontId="1" type="noConversion"/>
  </si>
  <si>
    <t>~에 대한, 반대로</t>
    <phoneticPr fontId="1" type="noConversion"/>
  </si>
  <si>
    <r>
      <t xml:space="preserve">The committee </t>
    </r>
    <r>
      <rPr>
        <b/>
        <sz val="11"/>
        <color theme="1"/>
        <rFont val="맑은 고딕"/>
        <family val="3"/>
        <charset val="129"/>
        <scheme val="minor"/>
      </rPr>
      <t>deemed</t>
    </r>
    <r>
      <rPr>
        <sz val="11"/>
        <color theme="1"/>
        <rFont val="맑은 고딕"/>
        <family val="3"/>
        <charset val="129"/>
        <scheme val="minor"/>
      </rPr>
      <t xml:space="preserve"> the proposal unacceptable.</t>
    </r>
    <phoneticPr fontId="1" type="noConversion"/>
  </si>
  <si>
    <r>
      <t xml:space="preserve">Fidget spinners were just a </t>
    </r>
    <r>
      <rPr>
        <b/>
        <sz val="11"/>
        <color theme="1"/>
        <rFont val="맑은 고딕"/>
        <family val="3"/>
        <charset val="129"/>
        <scheme val="minor"/>
      </rPr>
      <t>fad</t>
    </r>
    <r>
      <rPr>
        <sz val="11"/>
        <color theme="1"/>
        <rFont val="맑은 고딕"/>
        <family val="3"/>
        <charset val="129"/>
        <scheme val="minor"/>
      </rPr>
      <t xml:space="preserve"> that quickly disappeared.</t>
    </r>
    <phoneticPr fontId="1" type="noConversion"/>
  </si>
  <si>
    <r>
      <t xml:space="preserve">She </t>
    </r>
    <r>
      <rPr>
        <b/>
        <sz val="11"/>
        <color theme="1"/>
        <rFont val="맑은 고딕"/>
        <family val="3"/>
        <charset val="129"/>
        <scheme val="minor"/>
      </rPr>
      <t>strives</t>
    </r>
    <r>
      <rPr>
        <sz val="11"/>
        <color theme="1"/>
        <rFont val="맑은 고딕"/>
        <family val="3"/>
        <charset val="129"/>
        <scheme val="minor"/>
      </rPr>
      <t xml:space="preserve"> to be the best version of herself every day.</t>
    </r>
    <phoneticPr fontId="1" type="noConversion"/>
  </si>
  <si>
    <r>
      <t xml:space="preserve">The company is known for its </t>
    </r>
    <r>
      <rPr>
        <b/>
        <sz val="11"/>
        <color theme="1"/>
        <rFont val="맑은 고딕"/>
        <family val="3"/>
        <charset val="129"/>
        <scheme val="minor"/>
      </rPr>
      <t>cutting-edge</t>
    </r>
    <r>
      <rPr>
        <sz val="11"/>
        <color theme="1"/>
        <rFont val="맑은 고딕"/>
        <family val="3"/>
        <charset val="129"/>
        <scheme val="minor"/>
      </rPr>
      <t xml:space="preserve"> technology.</t>
    </r>
    <phoneticPr fontId="1" type="noConversion"/>
  </si>
  <si>
    <r>
      <t xml:space="preserve">The government should be more </t>
    </r>
    <r>
      <rPr>
        <b/>
        <sz val="11"/>
        <color theme="1"/>
        <rFont val="맑은 고딕"/>
        <family val="3"/>
        <charset val="129"/>
        <scheme val="minor"/>
      </rPr>
      <t>transparent</t>
    </r>
    <r>
      <rPr>
        <sz val="11"/>
        <color theme="1"/>
        <rFont val="맑은 고딕"/>
        <family val="3"/>
        <charset val="129"/>
        <scheme val="minor"/>
      </rPr>
      <t xml:space="preserve"> about its spending.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</si>
  <si>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novelty</t>
    </r>
    <r>
      <rPr>
        <sz val="11"/>
        <color theme="1"/>
        <rFont val="맑은 고딕"/>
        <family val="3"/>
        <charset val="129"/>
        <scheme val="minor"/>
      </rPr>
      <t xml:space="preserve"> of the new toy wore off after a few days.</t>
    </r>
    <phoneticPr fontId="1" type="noConversion"/>
  </si>
  <si>
    <r>
      <t xml:space="preserve">We had a chance </t>
    </r>
    <r>
      <rPr>
        <b/>
        <sz val="11"/>
        <color theme="1"/>
        <rFont val="맑은 고딕"/>
        <family val="3"/>
        <charset val="129"/>
        <scheme val="minor"/>
      </rPr>
      <t>encounter</t>
    </r>
    <r>
      <rPr>
        <sz val="11"/>
        <color theme="1"/>
        <rFont val="맑은 고딕"/>
        <family val="3"/>
        <charset val="129"/>
        <scheme val="minor"/>
      </rPr>
      <t xml:space="preserve"> with an old friend at the mall.</t>
    </r>
    <phoneticPr fontId="1" type="noConversion"/>
  </si>
  <si>
    <r>
      <t xml:space="preserve">Do not </t>
    </r>
    <r>
      <rPr>
        <b/>
        <sz val="11"/>
        <color theme="1"/>
        <rFont val="맑은 고딕"/>
        <family val="3"/>
        <charset val="129"/>
        <scheme val="minor"/>
      </rPr>
      <t>alter</t>
    </r>
    <r>
      <rPr>
        <sz val="11"/>
        <color theme="1"/>
        <rFont val="맑은 고딕"/>
        <family val="3"/>
        <charset val="129"/>
        <scheme val="minor"/>
      </rPr>
      <t xml:space="preserve"> the document without the manager's permission.</t>
    </r>
    <phoneticPr fontId="1" type="noConversion"/>
  </si>
  <si>
    <r>
      <t xml:space="preserve">The president delivered an </t>
    </r>
    <r>
      <rPr>
        <b/>
        <sz val="11"/>
        <color theme="1"/>
        <rFont val="맑은 고딕"/>
        <family val="3"/>
        <charset val="129"/>
        <scheme val="minor"/>
      </rPr>
      <t>inaugural</t>
    </r>
    <r>
      <rPr>
        <sz val="11"/>
        <color theme="1"/>
        <rFont val="맑은 고딕"/>
        <family val="3"/>
        <charset val="129"/>
        <scheme val="minor"/>
      </rPr>
      <t xml:space="preserve"> address at the ceremony.</t>
    </r>
    <phoneticPr fontId="1" type="noConversion"/>
  </si>
  <si>
    <r>
      <t xml:space="preserve">She was always </t>
    </r>
    <r>
      <rPr>
        <b/>
        <sz val="11"/>
        <color theme="1"/>
        <rFont val="맑은 고딕"/>
        <family val="3"/>
        <charset val="129"/>
        <scheme val="minor"/>
      </rPr>
      <t>gracious</t>
    </r>
    <r>
      <rPr>
        <sz val="11"/>
        <color theme="1"/>
        <rFont val="맑은 고딕"/>
        <family val="3"/>
        <charset val="129"/>
        <scheme val="minor"/>
      </rPr>
      <t xml:space="preserve"> and welcoming to her guests.</t>
    </r>
    <phoneticPr fontId="1" type="noConversion"/>
  </si>
  <si>
    <r>
      <t xml:space="preserve">The meaning of the poem was quite </t>
    </r>
    <r>
      <rPr>
        <b/>
        <sz val="11"/>
        <color theme="1"/>
        <rFont val="맑은 고딕"/>
        <family val="3"/>
        <charset val="129"/>
        <scheme val="minor"/>
      </rPr>
      <t>obscure</t>
    </r>
    <r>
      <rPr>
        <sz val="11"/>
        <color theme="1"/>
        <rFont val="맑은 고딕"/>
        <family val="3"/>
        <charset val="129"/>
        <scheme val="minor"/>
      </rPr>
      <t xml:space="preserve"> to most readers.</t>
    </r>
    <phoneticPr fontId="1" type="noConversion"/>
  </si>
  <si>
    <r>
      <t xml:space="preserve">The film received critical </t>
    </r>
    <r>
      <rPr>
        <b/>
        <sz val="11"/>
        <color theme="1"/>
        <rFont val="맑은 고딕"/>
        <family val="3"/>
        <charset val="129"/>
        <scheme val="minor"/>
      </rPr>
      <t>acclaim</t>
    </r>
    <r>
      <rPr>
        <sz val="11"/>
        <color theme="1"/>
        <rFont val="맑은 고딕"/>
        <family val="3"/>
        <charset val="129"/>
        <scheme val="minor"/>
      </rPr>
      <t xml:space="preserve"> at the international festival.</t>
    </r>
    <phoneticPr fontId="1" type="noConversion"/>
  </si>
  <si>
    <r>
      <t xml:space="preserve">The movie is an </t>
    </r>
    <r>
      <rPr>
        <b/>
        <sz val="11"/>
        <color theme="1"/>
        <rFont val="맑은 고딕"/>
        <family val="3"/>
        <charset val="129"/>
        <scheme val="minor"/>
      </rPr>
      <t>adaptation</t>
    </r>
    <r>
      <rPr>
        <sz val="11"/>
        <color theme="1"/>
        <rFont val="맑은 고딕"/>
        <family val="3"/>
        <charset val="129"/>
        <scheme val="minor"/>
      </rPr>
      <t xml:space="preserve"> of a famous novel.</t>
    </r>
    <phoneticPr fontId="1" type="noConversion"/>
  </si>
  <si>
    <r>
      <t xml:space="preserve">Despite his success, he remained </t>
    </r>
    <r>
      <rPr>
        <b/>
        <sz val="11"/>
        <color theme="1"/>
        <rFont val="맑은 고딕"/>
        <family val="3"/>
        <charset val="129"/>
        <scheme val="minor"/>
      </rPr>
      <t>modest</t>
    </r>
    <r>
      <rPr>
        <sz val="11"/>
        <color theme="1"/>
        <rFont val="맑은 고딕"/>
        <family val="3"/>
        <charset val="129"/>
        <scheme val="minor"/>
      </rPr>
      <t xml:space="preserve"> and down-to-earth.</t>
    </r>
    <phoneticPr fontId="1" type="noConversion"/>
  </si>
  <si>
    <r>
      <t xml:space="preserve">His dedication to charity is a </t>
    </r>
    <r>
      <rPr>
        <b/>
        <sz val="11"/>
        <color theme="1"/>
        <rFont val="맑은 고딕"/>
        <family val="3"/>
        <charset val="129"/>
        <scheme val="minor"/>
      </rPr>
      <t>testament</t>
    </r>
    <r>
      <rPr>
        <sz val="11"/>
        <color theme="1"/>
        <rFont val="맑은 고딕"/>
        <family val="3"/>
        <charset val="129"/>
        <scheme val="minor"/>
      </rPr>
      <t xml:space="preserve"> to his character.</t>
    </r>
    <phoneticPr fontId="1" type="noConversion"/>
  </si>
  <si>
    <r>
      <t xml:space="preserve">The teacher's </t>
    </r>
    <r>
      <rPr>
        <b/>
        <sz val="11"/>
        <color theme="1"/>
        <rFont val="맑은 고딕"/>
        <family val="3"/>
        <charset val="129"/>
        <scheme val="minor"/>
      </rPr>
      <t>assessment</t>
    </r>
    <r>
      <rPr>
        <sz val="11"/>
        <color theme="1"/>
        <rFont val="맑은 고딕"/>
        <family val="3"/>
        <charset val="129"/>
        <scheme val="minor"/>
      </rPr>
      <t xml:space="preserve"> of the student's work was fair.</t>
    </r>
    <phoneticPr fontId="1" type="noConversion"/>
  </si>
  <si>
    <r>
      <t xml:space="preserve">She </t>
    </r>
    <r>
      <rPr>
        <b/>
        <sz val="11"/>
        <color theme="1"/>
        <rFont val="맑은 고딕"/>
        <family val="3"/>
        <charset val="129"/>
        <scheme val="minor"/>
      </rPr>
      <t>deserves</t>
    </r>
    <r>
      <rPr>
        <sz val="11"/>
        <color theme="1"/>
        <rFont val="맑은 고딕"/>
        <family val="3"/>
        <charset val="129"/>
        <scheme val="minor"/>
      </rPr>
      <t xml:space="preserve"> a promotion after years of hard work.</t>
    </r>
    <phoneticPr fontId="1" type="noConversion"/>
  </si>
  <si>
    <r>
      <t xml:space="preserve">When things get tough, I always </t>
    </r>
    <r>
      <rPr>
        <b/>
        <sz val="11"/>
        <color theme="1"/>
        <rFont val="맑은 고딕"/>
        <family val="3"/>
        <charset val="129"/>
        <scheme val="minor"/>
      </rPr>
      <t>turn to</t>
    </r>
    <r>
      <rPr>
        <sz val="11"/>
        <color theme="1"/>
        <rFont val="맑은 고딕"/>
        <family val="3"/>
        <charset val="129"/>
        <scheme val="minor"/>
      </rPr>
      <t xml:space="preserve"> my family for support.</t>
    </r>
    <phoneticPr fontId="1" type="noConversion"/>
  </si>
  <si>
    <t>tough</t>
    <phoneticPr fontId="1" type="noConversion"/>
  </si>
  <si>
    <t>힘든, 어려운</t>
    <phoneticPr fontId="1" type="noConversion"/>
  </si>
  <si>
    <r>
      <t xml:space="preserve">He seemed emotionally </t>
    </r>
    <r>
      <rPr>
        <b/>
        <sz val="11"/>
        <color theme="1"/>
        <rFont val="맑은 고딕"/>
        <family val="3"/>
        <charset val="129"/>
        <scheme val="minor"/>
      </rPr>
      <t>detached</t>
    </r>
    <r>
      <rPr>
        <sz val="11"/>
        <color theme="1"/>
        <rFont val="맑은 고딕"/>
        <family val="3"/>
        <charset val="129"/>
        <scheme val="minor"/>
      </rPr>
      <t xml:space="preserve"> from the situation.</t>
    </r>
    <phoneticPr fontId="1" type="noConversion"/>
  </si>
  <si>
    <r>
      <t xml:space="preserve">The politician met with </t>
    </r>
    <r>
      <rPr>
        <b/>
        <sz val="11"/>
        <color theme="1"/>
        <rFont val="맑은 고딕"/>
        <family val="3"/>
        <charset val="129"/>
        <scheme val="minor"/>
      </rPr>
      <t>constituents</t>
    </r>
    <r>
      <rPr>
        <sz val="11"/>
        <color theme="1"/>
        <rFont val="맑은 고딕"/>
        <family val="3"/>
        <charset val="129"/>
        <scheme val="minor"/>
      </rPr>
      <t xml:space="preserve"> to hear their concerns.</t>
    </r>
    <phoneticPr fontId="1" type="noConversion"/>
  </si>
  <si>
    <r>
      <t xml:space="preserve">Don't </t>
    </r>
    <r>
      <rPr>
        <b/>
        <sz val="11"/>
        <color theme="1"/>
        <rFont val="맑은 고딕"/>
        <family val="3"/>
        <charset val="129"/>
        <scheme val="minor"/>
      </rPr>
      <t>overlook</t>
    </r>
    <r>
      <rPr>
        <sz val="11"/>
        <color theme="1"/>
        <rFont val="맑은 고딕"/>
        <family val="3"/>
        <charset val="129"/>
        <scheme val="minor"/>
      </rPr>
      <t xml:space="preserve"> the small details — they can make a big difference.</t>
    </r>
    <phoneticPr fontId="1" type="noConversion"/>
  </si>
  <si>
    <r>
      <t xml:space="preserve">Citizens have an </t>
    </r>
    <r>
      <rPr>
        <b/>
        <sz val="11"/>
        <color theme="1"/>
        <rFont val="맑은 고딕"/>
        <family val="3"/>
        <charset val="129"/>
        <scheme val="minor"/>
      </rPr>
      <t>obligation</t>
    </r>
    <r>
      <rPr>
        <sz val="11"/>
        <color theme="1"/>
        <rFont val="맑은 고딕"/>
        <family val="3"/>
        <charset val="129"/>
        <scheme val="minor"/>
      </rPr>
      <t xml:space="preserve"> to obey the law.</t>
    </r>
    <phoneticPr fontId="1" type="noConversion"/>
  </si>
  <si>
    <r>
      <t xml:space="preserve">His </t>
    </r>
    <r>
      <rPr>
        <b/>
        <sz val="11"/>
        <color theme="1"/>
        <rFont val="맑은 고딕"/>
        <family val="3"/>
        <charset val="129"/>
        <scheme val="minor"/>
      </rPr>
      <t>affiliation</t>
    </r>
    <r>
      <rPr>
        <sz val="11"/>
        <color theme="1"/>
        <rFont val="맑은 고딕"/>
        <family val="3"/>
        <charset val="129"/>
        <scheme val="minor"/>
      </rPr>
      <t xml:space="preserve"> with the university lasted over twenty years.</t>
    </r>
    <phoneticPr fontId="1" type="noConversion"/>
  </si>
  <si>
    <r>
      <t xml:space="preserve">He is lazy. </t>
    </r>
    <r>
      <rPr>
        <b/>
        <sz val="11"/>
        <color theme="1"/>
        <rFont val="맑은 고딕"/>
        <family val="3"/>
        <charset val="129"/>
        <scheme val="minor"/>
      </rPr>
      <t>In other words</t>
    </r>
    <r>
      <rPr>
        <sz val="11"/>
        <color theme="1"/>
        <rFont val="맑은 고딕"/>
        <family val="3"/>
        <charset val="129"/>
        <scheme val="minor"/>
      </rPr>
      <t>, he never does any work.</t>
    </r>
    <phoneticPr fontId="1" type="noConversion"/>
  </si>
  <si>
    <r>
      <t xml:space="preserve">The exam was </t>
    </r>
    <r>
      <rPr>
        <b/>
        <sz val="11"/>
        <color theme="1"/>
        <rFont val="맑은 고딕"/>
        <family val="3"/>
        <charset val="129"/>
        <scheme val="minor"/>
      </rPr>
      <t>fairly</t>
    </r>
    <r>
      <rPr>
        <sz val="11"/>
        <color theme="1"/>
        <rFont val="맑은 고딕"/>
        <family val="3"/>
        <charset val="129"/>
        <scheme val="minor"/>
      </rPr>
      <t xml:space="preserve"> easy compared to last year's.</t>
    </r>
    <phoneticPr fontId="1" type="noConversion"/>
  </si>
  <si>
    <r>
      <t xml:space="preserve">The annual </t>
    </r>
    <r>
      <rPr>
        <b/>
        <sz val="11"/>
        <color theme="1"/>
        <rFont val="맑은 고딕"/>
        <family val="3"/>
        <charset val="129"/>
        <scheme val="minor"/>
      </rPr>
      <t>convention</t>
    </r>
    <r>
      <rPr>
        <sz val="11"/>
        <color theme="1"/>
        <rFont val="맑은 고딕"/>
        <family val="3"/>
        <charset val="129"/>
        <scheme val="minor"/>
      </rPr>
      <t xml:space="preserve"> attracted thousands of professionals.</t>
    </r>
    <phoneticPr fontId="1" type="noConversion"/>
  </si>
  <si>
    <r>
      <t xml:space="preserve">She looked at him with </t>
    </r>
    <r>
      <rPr>
        <b/>
        <sz val="11"/>
        <color theme="1"/>
        <rFont val="맑은 고딕"/>
        <family val="3"/>
        <charset val="129"/>
        <scheme val="minor"/>
      </rPr>
      <t>disdain</t>
    </r>
    <r>
      <rPr>
        <sz val="11"/>
        <color theme="1"/>
        <rFont val="맑은 고딕"/>
        <family val="3"/>
        <charset val="129"/>
        <scheme val="minor"/>
      </rPr>
      <t xml:space="preserve"> and refused to speak.</t>
    </r>
    <phoneticPr fontId="1" type="noConversion"/>
  </si>
  <si>
    <r>
      <t xml:space="preserve">The political </t>
    </r>
    <r>
      <rPr>
        <b/>
        <sz val="11"/>
        <color theme="1"/>
        <rFont val="맑은 고딕"/>
        <family val="3"/>
        <charset val="129"/>
        <scheme val="minor"/>
      </rPr>
      <t>establishment</t>
    </r>
    <r>
      <rPr>
        <sz val="11"/>
        <color theme="1"/>
        <rFont val="맑은 고딕"/>
        <family val="3"/>
        <charset val="129"/>
        <scheme val="minor"/>
      </rPr>
      <t xml:space="preserve"> resisted the reforms.</t>
    </r>
    <phoneticPr fontId="1" type="noConversion"/>
  </si>
  <si>
    <r>
      <t xml:space="preserve">His computer skills are </t>
    </r>
    <r>
      <rPr>
        <b/>
        <sz val="11"/>
        <color theme="1"/>
        <rFont val="맑은 고딕"/>
        <family val="3"/>
        <charset val="129"/>
        <scheme val="minor"/>
      </rPr>
      <t>outdated</t>
    </r>
    <r>
      <rPr>
        <sz val="11"/>
        <color theme="1"/>
        <rFont val="맑은 고딕"/>
        <family val="3"/>
        <charset val="129"/>
        <scheme val="minor"/>
      </rPr>
      <t xml:space="preserve"> and need updating.</t>
    </r>
    <phoneticPr fontId="1" type="noConversion"/>
  </si>
  <si>
    <r>
      <t xml:space="preserve">Human rights groups </t>
    </r>
    <r>
      <rPr>
        <b/>
        <sz val="11"/>
        <color theme="1"/>
        <rFont val="맑은 고딕"/>
        <family val="3"/>
        <charset val="129"/>
        <scheme val="minor"/>
      </rPr>
      <t>denounced</t>
    </r>
    <r>
      <rPr>
        <sz val="11"/>
        <color theme="1"/>
        <rFont val="맑은 고딕"/>
        <family val="3"/>
        <charset val="129"/>
        <scheme val="minor"/>
      </rPr>
      <t xml:space="preserve"> the government's actions.</t>
    </r>
    <phoneticPr fontId="1" type="noConversion"/>
  </si>
  <si>
    <r>
      <t xml:space="preserve">He has </t>
    </r>
    <r>
      <rPr>
        <b/>
        <sz val="11"/>
        <color theme="1"/>
        <rFont val="맑은 고딕"/>
        <family val="3"/>
        <charset val="129"/>
        <scheme val="minor"/>
      </rPr>
      <t>mellowed</t>
    </r>
    <r>
      <rPr>
        <sz val="11"/>
        <color theme="1"/>
        <rFont val="맑은 고딕"/>
        <family val="3"/>
        <charset val="129"/>
        <scheme val="minor"/>
      </rPr>
      <t xml:space="preserve"> a lot since becoming a father.</t>
    </r>
    <phoneticPr fontId="1" type="noConversion"/>
  </si>
  <si>
    <r>
      <t xml:space="preserve">Her </t>
    </r>
    <r>
      <rPr>
        <b/>
        <sz val="11"/>
        <color theme="1"/>
        <rFont val="맑은 고딕"/>
        <family val="3"/>
        <charset val="129"/>
        <scheme val="minor"/>
      </rPr>
      <t>outlook</t>
    </r>
    <r>
      <rPr>
        <sz val="11"/>
        <color theme="1"/>
        <rFont val="맑은 고딕"/>
        <family val="3"/>
        <charset val="129"/>
        <scheme val="minor"/>
      </rPr>
      <t xml:space="preserve"> on life is always positive and hopeful.</t>
    </r>
    <phoneticPr fontId="1" type="noConversion"/>
  </si>
  <si>
    <r>
      <t xml:space="preserve">The team suffered </t>
    </r>
    <r>
      <rPr>
        <b/>
        <sz val="11"/>
        <color theme="1"/>
        <rFont val="맑은 고딕"/>
        <family val="3"/>
        <charset val="129"/>
        <scheme val="minor"/>
      </rPr>
      <t>a string of</t>
    </r>
    <r>
      <rPr>
        <sz val="11"/>
        <color theme="1"/>
        <rFont val="맑은 고딕"/>
        <family val="3"/>
        <charset val="129"/>
        <scheme val="minor"/>
      </rPr>
      <t xml:space="preserve"> defeats this season.</t>
    </r>
    <phoneticPr fontId="1" type="noConversion"/>
  </si>
  <si>
    <r>
      <t xml:space="preserve">She graduated from a </t>
    </r>
    <r>
      <rPr>
        <b/>
        <sz val="11"/>
        <color theme="1"/>
        <rFont val="맑은 고딕"/>
        <family val="3"/>
        <charset val="129"/>
        <scheme val="minor"/>
      </rPr>
      <t>prestigious</t>
    </r>
    <r>
      <rPr>
        <sz val="11"/>
        <color theme="1"/>
        <rFont val="맑은 고딕"/>
        <family val="3"/>
        <charset val="129"/>
        <scheme val="minor"/>
      </rPr>
      <t xml:space="preserve"> university in England.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</si>
  <si>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rebellious</t>
    </r>
    <r>
      <rPr>
        <sz val="11"/>
        <color theme="1"/>
        <rFont val="맑은 고딕"/>
        <family val="3"/>
        <charset val="129"/>
        <scheme val="minor"/>
      </rPr>
      <t xml:space="preserve"> teenager refused to follow the school rules.</t>
    </r>
    <phoneticPr fontId="1" type="noConversion"/>
  </si>
  <si>
    <r>
      <t xml:space="preserve">Marriage is an important social </t>
    </r>
    <r>
      <rPr>
        <b/>
        <sz val="11"/>
        <color theme="1"/>
        <rFont val="맑은 고딕"/>
        <family val="3"/>
        <charset val="129"/>
        <scheme val="minor"/>
      </rPr>
      <t>institution</t>
    </r>
    <r>
      <rPr>
        <sz val="11"/>
        <color theme="1"/>
        <rFont val="맑은 고딕"/>
        <family val="3"/>
        <charset val="129"/>
        <scheme val="minor"/>
      </rPr>
      <t xml:space="preserve"> in most cultures.</t>
    </r>
    <phoneticPr fontId="1" type="noConversion"/>
  </si>
  <si>
    <r>
      <t xml:space="preserve">Critics </t>
    </r>
    <r>
      <rPr>
        <b/>
        <sz val="11"/>
        <color theme="1"/>
        <rFont val="맑은 고딕"/>
        <family val="3"/>
        <charset val="129"/>
        <scheme val="minor"/>
      </rPr>
      <t>derided</t>
    </r>
    <r>
      <rPr>
        <sz val="11"/>
        <color theme="1"/>
        <rFont val="맑은 고딕"/>
        <family val="3"/>
        <charset val="129"/>
        <scheme val="minor"/>
      </rPr>
      <t xml:space="preserve"> the plan as unrealistic and wasteful.</t>
    </r>
    <phoneticPr fontId="1" type="noConversion"/>
  </si>
  <si>
    <r>
      <t xml:space="preserve">A new trend has </t>
    </r>
    <r>
      <rPr>
        <b/>
        <sz val="11"/>
        <color theme="1"/>
        <rFont val="맑은 고딕"/>
        <family val="3"/>
        <charset val="129"/>
        <scheme val="minor"/>
      </rPr>
      <t>emerged</t>
    </r>
    <r>
      <rPr>
        <sz val="11"/>
        <color theme="1"/>
        <rFont val="맑은 고딕"/>
        <family val="3"/>
        <charset val="129"/>
        <scheme val="minor"/>
      </rPr>
      <t xml:space="preserve"> in the fashion industry.</t>
    </r>
    <phoneticPr fontId="1" type="noConversion"/>
  </si>
  <si>
    <r>
      <t xml:space="preserve">Students are expected to </t>
    </r>
    <r>
      <rPr>
        <b/>
        <sz val="11"/>
        <color theme="1"/>
        <rFont val="맑은 고딕"/>
        <family val="3"/>
        <charset val="129"/>
        <scheme val="minor"/>
      </rPr>
      <t>conform</t>
    </r>
    <r>
      <rPr>
        <sz val="11"/>
        <color theme="1"/>
        <rFont val="맑은 고딕"/>
        <family val="3"/>
        <charset val="129"/>
        <scheme val="minor"/>
      </rPr>
      <t xml:space="preserve"> to the school's dress code.</t>
    </r>
    <phoneticPr fontId="1" type="noConversion"/>
  </si>
  <si>
    <r>
      <t xml:space="preserve">It </t>
    </r>
    <r>
      <rPr>
        <b/>
        <sz val="11"/>
        <color theme="1"/>
        <rFont val="맑은 고딕"/>
        <family val="3"/>
        <charset val="129"/>
        <scheme val="minor"/>
      </rPr>
      <t>turned out</t>
    </r>
    <r>
      <rPr>
        <sz val="11"/>
        <color theme="1"/>
        <rFont val="맑은 고딕"/>
        <family val="3"/>
        <charset val="129"/>
        <scheme val="minor"/>
      </rPr>
      <t xml:space="preserve"> that the rumor was completely false.</t>
    </r>
    <phoneticPr fontId="1" type="noConversion"/>
  </si>
  <si>
    <r>
      <t xml:space="preserve">We should </t>
    </r>
    <r>
      <rPr>
        <b/>
        <sz val="11"/>
        <color theme="1"/>
        <rFont val="맑은 고딕"/>
        <family val="3"/>
        <charset val="129"/>
        <scheme val="minor"/>
      </rPr>
      <t>embrace</t>
    </r>
    <r>
      <rPr>
        <sz val="11"/>
        <color theme="1"/>
        <rFont val="맑은 고딕"/>
        <family val="3"/>
        <charset val="129"/>
        <scheme val="minor"/>
      </rPr>
      <t xml:space="preserve"> change rather than fear it.</t>
    </r>
    <phoneticPr fontId="1" type="noConversion"/>
  </si>
  <si>
    <r>
      <t xml:space="preserve">The international community </t>
    </r>
    <r>
      <rPr>
        <b/>
        <sz val="11"/>
        <color theme="1"/>
        <rFont val="맑은 고딕"/>
        <family val="3"/>
        <charset val="129"/>
        <scheme val="minor"/>
      </rPr>
      <t>condemned</t>
    </r>
    <r>
      <rPr>
        <sz val="11"/>
        <color theme="1"/>
        <rFont val="맑은 고딕"/>
        <family val="3"/>
        <charset val="129"/>
        <scheme val="minor"/>
      </rPr>
      <t xml:space="preserve"> the act of violence.</t>
    </r>
    <phoneticPr fontId="1" type="noConversion"/>
  </si>
  <si>
    <r>
      <t xml:space="preserve">The country was ruled by a brutal military </t>
    </r>
    <r>
      <rPr>
        <b/>
        <sz val="11"/>
        <color theme="1"/>
        <rFont val="맑은 고딕"/>
        <family val="3"/>
        <charset val="129"/>
        <scheme val="minor"/>
      </rPr>
      <t>regime</t>
    </r>
    <r>
      <rPr>
        <sz val="11"/>
        <color theme="1"/>
        <rFont val="맑은 고딕"/>
        <family val="3"/>
        <charset val="129"/>
        <scheme val="minor"/>
      </rPr>
      <t>.</t>
    </r>
    <phoneticPr fontId="1" type="noConversion"/>
  </si>
  <si>
    <t>brutal</t>
    <phoneticPr fontId="1" type="noConversion"/>
  </si>
  <si>
    <t>잔인한, 폭력적인</t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</si>
  <si>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autocratic</t>
    </r>
    <r>
      <rPr>
        <sz val="11"/>
        <color theme="1"/>
        <rFont val="맑은 고딕"/>
        <family val="3"/>
        <charset val="129"/>
        <scheme val="minor"/>
      </rPr>
      <t xml:space="preserve"> leader made all decisions without consulting anyone.</t>
    </r>
    <phoneticPr fontId="1" type="noConversion"/>
  </si>
  <si>
    <r>
      <t xml:space="preserve">She is a </t>
    </r>
    <r>
      <rPr>
        <b/>
        <sz val="11"/>
        <color theme="1"/>
        <rFont val="맑은 고딕"/>
        <family val="3"/>
        <charset val="129"/>
        <scheme val="minor"/>
      </rPr>
      <t>staunch</t>
    </r>
    <r>
      <rPr>
        <sz val="11"/>
        <color theme="1"/>
        <rFont val="맑은 고딕"/>
        <family val="3"/>
        <charset val="129"/>
        <scheme val="minor"/>
      </rPr>
      <t xml:space="preserve"> supporter of environmental protection.</t>
    </r>
    <phoneticPr fontId="1" type="noConversion"/>
  </si>
  <si>
    <r>
      <t xml:space="preserve">He </t>
    </r>
    <r>
      <rPr>
        <b/>
        <sz val="11"/>
        <color theme="1"/>
        <rFont val="맑은 고딕"/>
        <family val="3"/>
        <charset val="129"/>
        <scheme val="minor"/>
      </rPr>
      <t>refused</t>
    </r>
    <r>
      <rPr>
        <sz val="11"/>
        <color theme="1"/>
        <rFont val="맑은 고딕"/>
        <family val="3"/>
        <charset val="129"/>
        <scheme val="minor"/>
      </rPr>
      <t xml:space="preserve"> to apologize even though he was clearly wrong.</t>
    </r>
    <phoneticPr fontId="1" type="noConversion"/>
  </si>
  <si>
    <r>
      <t xml:space="preserve">The food was </t>
    </r>
    <r>
      <rPr>
        <b/>
        <sz val="11"/>
        <color theme="1"/>
        <rFont val="맑은 고딕"/>
        <family val="3"/>
        <charset val="129"/>
        <scheme val="minor"/>
      </rPr>
      <t>downright</t>
    </r>
    <r>
      <rPr>
        <sz val="11"/>
        <color theme="1"/>
        <rFont val="맑은 고딕"/>
        <family val="3"/>
        <charset val="129"/>
        <scheme val="minor"/>
      </rPr>
      <t xml:space="preserve"> terrible at that restaurant.</t>
    </r>
    <phoneticPr fontId="1" type="noConversion"/>
  </si>
  <si>
    <r>
      <t xml:space="preserve">There is a growing </t>
    </r>
    <r>
      <rPr>
        <b/>
        <sz val="11"/>
        <color theme="1"/>
        <rFont val="맑은 고딕"/>
        <family val="3"/>
        <charset val="129"/>
        <scheme val="minor"/>
      </rPr>
      <t>tendency</t>
    </r>
    <r>
      <rPr>
        <sz val="11"/>
        <color theme="1"/>
        <rFont val="맑은 고딕"/>
        <family val="3"/>
        <charset val="129"/>
        <scheme val="minor"/>
      </rPr>
      <t xml:space="preserve"> for people to shop online.</t>
    </r>
    <phoneticPr fontId="1" type="noConversion"/>
  </si>
  <si>
    <r>
      <t xml:space="preserve">They </t>
    </r>
    <r>
      <rPr>
        <b/>
        <sz val="11"/>
        <color theme="1"/>
        <rFont val="맑은 고딕"/>
        <family val="3"/>
        <charset val="129"/>
        <scheme val="minor"/>
      </rPr>
      <t>abandoned</t>
    </r>
    <r>
      <rPr>
        <sz val="11"/>
        <color theme="1"/>
        <rFont val="맑은 고딕"/>
        <family val="3"/>
        <charset val="129"/>
        <scheme val="minor"/>
      </rPr>
      <t xml:space="preserve"> the old factory and moved to a new location.</t>
    </r>
    <phoneticPr fontId="1" type="noConversion"/>
  </si>
  <si>
    <r>
      <t xml:space="preserve">He promised never to </t>
    </r>
    <r>
      <rPr>
        <b/>
        <sz val="11"/>
        <color theme="1"/>
        <rFont val="맑은 고딕"/>
        <family val="3"/>
        <charset val="129"/>
        <scheme val="minor"/>
      </rPr>
      <t>forsake</t>
    </r>
    <r>
      <rPr>
        <sz val="11"/>
        <color theme="1"/>
        <rFont val="맑은 고딕"/>
        <family val="3"/>
        <charset val="129"/>
        <scheme val="minor"/>
      </rPr>
      <t xml:space="preserve"> his friends in times of trouble.</t>
    </r>
    <phoneticPr fontId="1" type="noConversion"/>
  </si>
  <si>
    <r>
      <t xml:space="preserve">The army was forced to </t>
    </r>
    <r>
      <rPr>
        <b/>
        <sz val="11"/>
        <color theme="1"/>
        <rFont val="맑은 고딕"/>
        <family val="3"/>
        <charset val="129"/>
        <scheme val="minor"/>
      </rPr>
      <t>surrender</t>
    </r>
    <r>
      <rPr>
        <sz val="11"/>
        <color theme="1"/>
        <rFont val="맑은 고딕"/>
        <family val="3"/>
        <charset val="129"/>
        <scheme val="minor"/>
      </rPr>
      <t xml:space="preserve"> after a long battle.</t>
    </r>
    <phoneticPr fontId="1" type="noConversion"/>
  </si>
  <si>
    <r>
      <t xml:space="preserve">The manager was asked to </t>
    </r>
    <r>
      <rPr>
        <b/>
        <sz val="11"/>
        <color theme="1"/>
        <rFont val="맑은 고딕"/>
        <family val="3"/>
        <charset val="129"/>
        <scheme val="minor"/>
      </rPr>
      <t>hand over</t>
    </r>
    <r>
      <rPr>
        <sz val="11"/>
        <color theme="1"/>
        <rFont val="맑은 고딕"/>
        <family val="3"/>
        <charset val="129"/>
        <scheme val="minor"/>
      </rPr>
      <t xml:space="preserve"> all the documents.</t>
    </r>
    <phoneticPr fontId="1" type="noConversion"/>
  </si>
  <si>
    <r>
      <t xml:space="preserve">Illegal </t>
    </r>
    <r>
      <rPr>
        <b/>
        <sz val="11"/>
        <color theme="1"/>
        <rFont val="맑은 고딕"/>
        <family val="3"/>
        <charset val="129"/>
        <scheme val="minor"/>
      </rPr>
      <t>dumping</t>
    </r>
    <r>
      <rPr>
        <sz val="11"/>
        <color theme="1"/>
        <rFont val="맑은 고딕"/>
        <family val="3"/>
        <charset val="129"/>
        <scheme val="minor"/>
      </rPr>
      <t xml:space="preserve"> of waste can seriously harm the environment.</t>
    </r>
    <phoneticPr fontId="1" type="noConversion"/>
  </si>
  <si>
    <t>illegal</t>
    <phoneticPr fontId="1" type="noConversion"/>
  </si>
  <si>
    <t>불법적인</t>
    <phoneticPr fontId="1" type="noConversion"/>
  </si>
  <si>
    <t>예문</t>
    <phoneticPr fontId="1" type="noConversion"/>
  </si>
  <si>
    <r>
      <t xml:space="preserve">The company </t>
    </r>
    <r>
      <rPr>
        <b/>
        <sz val="11"/>
        <color theme="1"/>
        <rFont val="맑은 고딕"/>
        <family val="3"/>
        <charset val="129"/>
        <scheme val="minor"/>
      </rPr>
      <t>dismissed</t>
    </r>
    <r>
      <rPr>
        <sz val="11"/>
        <color theme="1"/>
        <rFont val="맑은 고딕"/>
        <family val="3"/>
        <charset val="129"/>
        <scheme val="minor"/>
      </rPr>
      <t xml:space="preserve"> several employees due to budget cuts.</t>
    </r>
    <phoneticPr fontId="1" type="noConversion"/>
  </si>
  <si>
    <r>
      <t xml:space="preserve">She was reluctant to </t>
    </r>
    <r>
      <rPr>
        <b/>
        <sz val="11"/>
        <color theme="1"/>
        <rFont val="맑은 고딕"/>
        <family val="3"/>
        <charset val="129"/>
        <scheme val="minor"/>
      </rPr>
      <t>relinquish</t>
    </r>
    <r>
      <rPr>
        <sz val="11"/>
        <color theme="1"/>
        <rFont val="맑은 고딕"/>
        <family val="3"/>
        <charset val="129"/>
        <scheme val="minor"/>
      </rPr>
      <t xml:space="preserve"> control of the project.</t>
    </r>
    <phoneticPr fontId="1" type="noConversion"/>
  </si>
  <si>
    <r>
      <t xml:space="preserve">He </t>
    </r>
    <r>
      <rPr>
        <b/>
        <sz val="11"/>
        <color theme="1"/>
        <rFont val="맑은 고딕"/>
        <family val="3"/>
        <charset val="129"/>
        <scheme val="minor"/>
      </rPr>
      <t>resigned</t>
    </r>
    <r>
      <rPr>
        <sz val="11"/>
        <color theme="1"/>
        <rFont val="맑은 고딕"/>
        <family val="3"/>
        <charset val="129"/>
        <scheme val="minor"/>
      </rPr>
      <t xml:space="preserve"> from his position as CEO last month.</t>
    </r>
    <phoneticPr fontId="1" type="noConversion"/>
  </si>
  <si>
    <r>
      <t xml:space="preserve">Please </t>
    </r>
    <r>
      <rPr>
        <b/>
        <sz val="11"/>
        <color theme="1"/>
        <rFont val="맑은 고딕"/>
        <family val="3"/>
        <charset val="129"/>
        <scheme val="minor"/>
      </rPr>
      <t>discard</t>
    </r>
    <r>
      <rPr>
        <sz val="11"/>
        <color theme="1"/>
        <rFont val="맑은 고딕"/>
        <family val="3"/>
        <charset val="129"/>
        <scheme val="minor"/>
      </rPr>
      <t xml:space="preserve"> any expired products from the shelf.</t>
    </r>
    <phoneticPr fontId="1" type="noConversion"/>
  </si>
  <si>
    <r>
      <t xml:space="preserve">The soldier </t>
    </r>
    <r>
      <rPr>
        <b/>
        <sz val="11"/>
        <color theme="1"/>
        <rFont val="맑은 고딕"/>
        <family val="3"/>
        <charset val="129"/>
        <scheme val="minor"/>
      </rPr>
      <t>deserted</t>
    </r>
    <r>
      <rPr>
        <sz val="11"/>
        <color theme="1"/>
        <rFont val="맑은 고딕"/>
        <family val="3"/>
        <charset val="129"/>
        <scheme val="minor"/>
      </rPr>
      <t xml:space="preserve"> his unit and fled across the border.</t>
    </r>
    <phoneticPr fontId="1" type="noConversion"/>
  </si>
  <si>
    <r>
      <t xml:space="preserve">The investment </t>
    </r>
    <r>
      <rPr>
        <b/>
        <sz val="11"/>
        <color theme="1"/>
        <rFont val="맑은 고딕"/>
        <family val="3"/>
        <charset val="129"/>
        <scheme val="minor"/>
      </rPr>
      <t>yielded</t>
    </r>
    <r>
      <rPr>
        <sz val="11"/>
        <color theme="1"/>
        <rFont val="맑은 고딕"/>
        <family val="3"/>
        <charset val="129"/>
        <scheme val="minor"/>
      </rPr>
      <t xml:space="preserve"> a high return this year.</t>
    </r>
    <phoneticPr fontId="1" type="noConversion"/>
  </si>
  <si>
    <r>
      <t xml:space="preserve">It took me a while to </t>
    </r>
    <r>
      <rPr>
        <b/>
        <sz val="11"/>
        <color theme="1"/>
        <rFont val="맑은 고딕"/>
        <family val="3"/>
        <charset val="129"/>
        <scheme val="minor"/>
      </rPr>
      <t>grasp</t>
    </r>
    <r>
      <rPr>
        <sz val="11"/>
        <color theme="1"/>
        <rFont val="맑은 고딕"/>
        <family val="3"/>
        <charset val="129"/>
        <scheme val="minor"/>
      </rPr>
      <t xml:space="preserve"> the concept of calculus.</t>
    </r>
    <phoneticPr fontId="1" type="noConversion"/>
  </si>
  <si>
    <t>calculus</t>
    <phoneticPr fontId="1" type="noConversion"/>
  </si>
  <si>
    <t>미적분</t>
    <phoneticPr fontId="1" type="noConversion"/>
  </si>
  <si>
    <r>
      <t xml:space="preserve">Police </t>
    </r>
    <r>
      <rPr>
        <b/>
        <sz val="11"/>
        <color theme="1"/>
        <rFont val="맑은 고딕"/>
        <family val="3"/>
        <charset val="129"/>
        <scheme val="minor"/>
      </rPr>
      <t>seized</t>
    </r>
    <r>
      <rPr>
        <sz val="11"/>
        <color theme="1"/>
        <rFont val="맑은 고딕"/>
        <family val="3"/>
        <charset val="129"/>
        <scheme val="minor"/>
      </rPr>
      <t xml:space="preserve"> a large amount of illegal drugs at the border.</t>
    </r>
    <phoneticPr fontId="1" type="noConversion"/>
  </si>
  <si>
    <r>
      <t xml:space="preserve">Fear </t>
    </r>
    <r>
      <rPr>
        <b/>
        <sz val="11"/>
        <color theme="1"/>
        <rFont val="맑은 고딕"/>
        <family val="3"/>
        <charset val="129"/>
        <scheme val="minor"/>
      </rPr>
      <t>gripped</t>
    </r>
    <r>
      <rPr>
        <sz val="11"/>
        <color theme="1"/>
        <rFont val="맑은 고딕"/>
        <family val="3"/>
        <charset val="129"/>
        <scheme val="minor"/>
      </rPr>
      <t xml:space="preserve"> the passengers when the plane hit turbulence.</t>
    </r>
    <phoneticPr fontId="1" type="noConversion"/>
  </si>
  <si>
    <r>
      <t xml:space="preserve">The photographer </t>
    </r>
    <r>
      <rPr>
        <b/>
        <sz val="11"/>
        <color theme="1"/>
        <rFont val="맑은 고딕"/>
        <family val="3"/>
        <charset val="129"/>
        <scheme val="minor"/>
      </rPr>
      <t>captured</t>
    </r>
    <r>
      <rPr>
        <sz val="11"/>
        <color theme="1"/>
        <rFont val="맑은 고딕"/>
        <family val="3"/>
        <charset val="129"/>
        <scheme val="minor"/>
      </rPr>
      <t xml:space="preserve"> a stunning image of the sunset.</t>
    </r>
    <phoneticPr fontId="1" type="noConversion"/>
  </si>
  <si>
    <r>
      <t xml:space="preserve">The thief </t>
    </r>
    <r>
      <rPr>
        <b/>
        <sz val="11"/>
        <color theme="1"/>
        <rFont val="맑은 고딕"/>
        <family val="3"/>
        <charset val="129"/>
        <scheme val="minor"/>
      </rPr>
      <t>snatched</t>
    </r>
    <r>
      <rPr>
        <sz val="11"/>
        <color theme="1"/>
        <rFont val="맑은 고딕"/>
        <family val="3"/>
        <charset val="129"/>
        <scheme val="minor"/>
      </rPr>
      <t xml:space="preserve"> her purse and ran away.</t>
    </r>
    <phoneticPr fontId="1" type="noConversion"/>
  </si>
  <si>
    <t>purse</t>
    <phoneticPr fontId="1" type="noConversion"/>
  </si>
  <si>
    <t>지갑, 가방</t>
    <phoneticPr fontId="1" type="noConversion"/>
  </si>
  <si>
    <r>
      <t xml:space="preserve">She </t>
    </r>
    <r>
      <rPr>
        <b/>
        <sz val="11"/>
        <color theme="1"/>
        <rFont val="맑은 고딕"/>
        <family val="3"/>
        <charset val="129"/>
        <scheme val="minor"/>
      </rPr>
      <t>embraced</t>
    </r>
    <r>
      <rPr>
        <sz val="11"/>
        <color theme="1"/>
        <rFont val="맑은 고딕"/>
        <family val="3"/>
        <charset val="129"/>
        <scheme val="minor"/>
      </rPr>
      <t xml:space="preserve"> her daughter warmly after the long trip.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</si>
  <si>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hostages</t>
    </r>
    <r>
      <rPr>
        <sz val="11"/>
        <color theme="1"/>
        <rFont val="맑은 고딕"/>
        <family val="3"/>
        <charset val="129"/>
        <scheme val="minor"/>
      </rPr>
      <t xml:space="preserve"> were held for three days before being released.</t>
    </r>
    <phoneticPr fontId="1" type="noConversion"/>
  </si>
  <si>
    <r>
      <t xml:space="preserve">The child was </t>
    </r>
    <r>
      <rPr>
        <b/>
        <sz val="11"/>
        <color theme="1"/>
        <rFont val="맑은 고딕"/>
        <family val="3"/>
        <charset val="129"/>
        <scheme val="minor"/>
      </rPr>
      <t>abducted</t>
    </r>
    <r>
      <rPr>
        <sz val="11"/>
        <color theme="1"/>
        <rFont val="맑은 고딕"/>
        <family val="3"/>
        <charset val="129"/>
        <scheme val="minor"/>
      </rPr>
      <t xml:space="preserve"> from the park in broad daylight.</t>
    </r>
    <phoneticPr fontId="1" type="noConversion"/>
  </si>
  <si>
    <t>broad</t>
    <phoneticPr fontId="1" type="noConversion"/>
  </si>
  <si>
    <t>넓은, 광범위한</t>
    <phoneticPr fontId="1" type="noConversion"/>
  </si>
  <si>
    <r>
      <t xml:space="preserve">Two men were arrested for attempting to </t>
    </r>
    <r>
      <rPr>
        <b/>
        <sz val="11"/>
        <color theme="1"/>
        <rFont val="맑은 고딕"/>
        <family val="3"/>
        <charset val="129"/>
        <scheme val="minor"/>
      </rPr>
      <t>kidnap</t>
    </r>
    <r>
      <rPr>
        <sz val="11"/>
        <color theme="1"/>
        <rFont val="맑은 고딕"/>
        <family val="3"/>
        <charset val="129"/>
        <scheme val="minor"/>
      </rPr>
      <t xml:space="preserve"> the businessman.</t>
    </r>
    <phoneticPr fontId="1" type="noConversion"/>
  </si>
  <si>
    <r>
      <t xml:space="preserve">She </t>
    </r>
    <r>
      <rPr>
        <b/>
        <sz val="11"/>
        <color theme="1"/>
        <rFont val="맑은 고딕"/>
        <family val="3"/>
        <charset val="129"/>
        <scheme val="minor"/>
      </rPr>
      <t>quit</t>
    </r>
    <r>
      <rPr>
        <sz val="11"/>
        <color theme="1"/>
        <rFont val="맑은 고딕"/>
        <family val="3"/>
        <charset val="129"/>
        <scheme val="minor"/>
      </rPr>
      <t xml:space="preserve"> her job to travel around the world.</t>
    </r>
    <phoneticPr fontId="1" type="noConversion"/>
  </si>
  <si>
    <r>
      <t xml:space="preserve">He plans to </t>
    </r>
    <r>
      <rPr>
        <b/>
        <sz val="11"/>
        <color theme="1"/>
        <rFont val="맑은 고딕"/>
        <family val="3"/>
        <charset val="129"/>
        <scheme val="minor"/>
      </rPr>
      <t>retire</t>
    </r>
    <r>
      <rPr>
        <sz val="11"/>
        <color theme="1"/>
        <rFont val="맑은 고딕"/>
        <family val="3"/>
        <charset val="129"/>
        <scheme val="minor"/>
      </rPr>
      <t xml:space="preserve"> at the age of 65.</t>
    </r>
    <phoneticPr fontId="1" type="noConversion"/>
  </si>
  <si>
    <r>
      <t xml:space="preserve">The monk </t>
    </r>
    <r>
      <rPr>
        <b/>
        <sz val="11"/>
        <color theme="1"/>
        <rFont val="맑은 고딕"/>
        <family val="3"/>
        <charset val="129"/>
        <scheme val="minor"/>
      </rPr>
      <t>secluded</t>
    </r>
    <r>
      <rPr>
        <sz val="11"/>
        <color theme="1"/>
        <rFont val="맑은 고딕"/>
        <family val="3"/>
        <charset val="129"/>
        <scheme val="minor"/>
      </rPr>
      <t xml:space="preserve"> himself in a remote mountain temple.</t>
    </r>
    <phoneticPr fontId="1" type="noConversion"/>
  </si>
  <si>
    <r>
      <t xml:space="preserve">The company decided to </t>
    </r>
    <r>
      <rPr>
        <b/>
        <sz val="11"/>
        <color theme="1"/>
        <rFont val="맑은 고딕"/>
        <family val="3"/>
        <charset val="129"/>
        <scheme val="minor"/>
      </rPr>
      <t>withdraw</t>
    </r>
    <r>
      <rPr>
        <sz val="11"/>
        <color theme="1"/>
        <rFont val="맑은 고딕"/>
        <family val="3"/>
        <charset val="129"/>
        <scheme val="minor"/>
      </rPr>
      <t xml:space="preserve"> its offer after the scandal.</t>
    </r>
    <phoneticPr fontId="1" type="noConversion"/>
  </si>
  <si>
    <r>
      <t xml:space="preserve">The elderly man was too </t>
    </r>
    <r>
      <rPr>
        <b/>
        <sz val="11"/>
        <color theme="1"/>
        <rFont val="맑은 고딕"/>
        <family val="3"/>
        <charset val="129"/>
        <scheme val="minor"/>
      </rPr>
      <t>feeble</t>
    </r>
    <r>
      <rPr>
        <sz val="11"/>
        <color theme="1"/>
        <rFont val="맑은 고딕"/>
        <family val="3"/>
        <charset val="129"/>
        <scheme val="minor"/>
      </rPr>
      <t xml:space="preserve"> to walk without assistance.</t>
    </r>
    <phoneticPr fontId="1" type="noConversion"/>
  </si>
  <si>
    <r>
      <t xml:space="preserve">The flowers </t>
    </r>
    <r>
      <rPr>
        <b/>
        <sz val="11"/>
        <color theme="1"/>
        <rFont val="맑은 고딕"/>
        <family val="3"/>
        <charset val="129"/>
        <scheme val="minor"/>
      </rPr>
      <t>withered</t>
    </r>
    <r>
      <rPr>
        <sz val="11"/>
        <color theme="1"/>
        <rFont val="맑은 고딕"/>
        <family val="3"/>
        <charset val="129"/>
        <scheme val="minor"/>
      </rPr>
      <t xml:space="preserve"> quickly in the summer heat.</t>
    </r>
    <phoneticPr fontId="1" type="noConversion"/>
  </si>
  <si>
    <r>
      <t xml:space="preserve">The economy </t>
    </r>
    <r>
      <rPr>
        <b/>
        <sz val="11"/>
        <color theme="1"/>
        <rFont val="맑은 고딕"/>
        <family val="3"/>
        <charset val="129"/>
        <scheme val="minor"/>
      </rPr>
      <t>languished</t>
    </r>
    <r>
      <rPr>
        <sz val="11"/>
        <color theme="1"/>
        <rFont val="맑은 고딕"/>
        <family val="3"/>
        <charset val="129"/>
        <scheme val="minor"/>
      </rPr>
      <t xml:space="preserve"> for years after the financial crisis.</t>
    </r>
    <phoneticPr fontId="1" type="noConversion"/>
  </si>
  <si>
    <t>❌</t>
  </si>
  <si>
    <r>
      <t xml:space="preserve">The court declared the contract </t>
    </r>
    <r>
      <rPr>
        <b/>
        <sz val="11"/>
        <color theme="1"/>
        <rFont val="맑은 고딕"/>
        <family val="3"/>
        <charset val="129"/>
        <scheme val="minor"/>
      </rPr>
      <t>invalid</t>
    </r>
    <r>
      <rPr>
        <sz val="11"/>
        <color theme="1"/>
        <rFont val="맑은 고딕"/>
        <family val="3"/>
        <charset val="129"/>
        <scheme val="minor"/>
      </rPr>
      <t xml:space="preserve"> due to fraud.</t>
    </r>
    <phoneticPr fontId="1" type="noConversion"/>
  </si>
  <si>
    <t>fraud</t>
    <phoneticPr fontId="1" type="noConversion"/>
  </si>
  <si>
    <t>사기, 부정</t>
    <phoneticPr fontId="1" type="noConversion"/>
  </si>
  <si>
    <r>
      <t xml:space="preserve">She has a remarkable </t>
    </r>
    <r>
      <rPr>
        <b/>
        <sz val="11"/>
        <color theme="1"/>
        <rFont val="맑은 고딕"/>
        <family val="3"/>
        <charset val="129"/>
        <scheme val="minor"/>
      </rPr>
      <t>faculty</t>
    </r>
    <r>
      <rPr>
        <sz val="11"/>
        <color theme="1"/>
        <rFont val="맑은 고딕"/>
        <family val="3"/>
        <charset val="129"/>
        <scheme val="minor"/>
      </rPr>
      <t xml:space="preserve"> for learning new languages.</t>
    </r>
    <phoneticPr fontId="1" type="noConversion"/>
  </si>
  <si>
    <r>
      <t xml:space="preserve">He showed a natural </t>
    </r>
    <r>
      <rPr>
        <b/>
        <sz val="11"/>
        <color theme="1"/>
        <rFont val="맑은 고딕"/>
        <family val="3"/>
        <charset val="129"/>
        <scheme val="minor"/>
      </rPr>
      <t>aptitude</t>
    </r>
    <r>
      <rPr>
        <sz val="11"/>
        <color theme="1"/>
        <rFont val="맑은 고딕"/>
        <family val="3"/>
        <charset val="129"/>
        <scheme val="minor"/>
      </rPr>
      <t xml:space="preserve"> for mathematics from a young age.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</si>
  <si>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removal</t>
    </r>
    <r>
      <rPr>
        <sz val="11"/>
        <color theme="1"/>
        <rFont val="맑은 고딕"/>
        <family val="3"/>
        <charset val="129"/>
        <scheme val="minor"/>
      </rPr>
      <t xml:space="preserve"> of the old bridge caused major traffic delays.</t>
    </r>
    <phoneticPr fontId="1" type="noConversion"/>
  </si>
  <si>
    <r>
      <t xml:space="preserve">The government </t>
    </r>
    <r>
      <rPr>
        <b/>
        <sz val="11"/>
        <color theme="1"/>
        <rFont val="맑은 고딕"/>
        <family val="3"/>
        <charset val="129"/>
        <scheme val="minor"/>
      </rPr>
      <t>repealed</t>
    </r>
    <r>
      <rPr>
        <sz val="11"/>
        <color theme="1"/>
        <rFont val="맑은 고딕"/>
        <family val="3"/>
        <charset val="129"/>
        <scheme val="minor"/>
      </rPr>
      <t xml:space="preserve"> the outdated law last year.</t>
    </r>
    <phoneticPr fontId="1" type="noConversion"/>
  </si>
  <si>
    <r>
      <t xml:space="preserve">The priest </t>
    </r>
    <r>
      <rPr>
        <b/>
        <sz val="11"/>
        <color theme="1"/>
        <rFont val="맑은 고딕"/>
        <family val="3"/>
        <charset val="129"/>
        <scheme val="minor"/>
      </rPr>
      <t>absolved</t>
    </r>
    <r>
      <rPr>
        <sz val="11"/>
        <color theme="1"/>
        <rFont val="맑은 고딕"/>
        <family val="3"/>
        <charset val="129"/>
        <scheme val="minor"/>
      </rPr>
      <t xml:space="preserve"> him of his sins.</t>
    </r>
    <phoneticPr fontId="1" type="noConversion"/>
  </si>
  <si>
    <r>
      <t xml:space="preserve">The jury </t>
    </r>
    <r>
      <rPr>
        <b/>
        <sz val="11"/>
        <color theme="1"/>
        <rFont val="맑은 고딕"/>
        <family val="3"/>
        <charset val="129"/>
        <scheme val="minor"/>
      </rPr>
      <t>acquitted</t>
    </r>
    <r>
      <rPr>
        <sz val="11"/>
        <color theme="1"/>
        <rFont val="맑은 고딕"/>
        <family val="3"/>
        <charset val="129"/>
        <scheme val="minor"/>
      </rPr>
      <t xml:space="preserve"> the defendant due to lack of evidence.</t>
    </r>
    <phoneticPr fontId="1" type="noConversion"/>
  </si>
  <si>
    <t xml:space="preserve">  jury</t>
    <phoneticPr fontId="1" type="noConversion"/>
  </si>
  <si>
    <t>배심, 심사위원</t>
    <phoneticPr fontId="1" type="noConversion"/>
  </si>
  <si>
    <t>defendant</t>
    <phoneticPr fontId="1" type="noConversion"/>
  </si>
  <si>
    <t>피고인, 피고</t>
    <phoneticPr fontId="1" type="noConversion"/>
  </si>
  <si>
    <r>
      <t xml:space="preserve">The governor granted a </t>
    </r>
    <r>
      <rPr>
        <b/>
        <sz val="11"/>
        <color theme="1"/>
        <rFont val="맑은 고딕"/>
        <family val="3"/>
        <charset val="129"/>
        <scheme val="minor"/>
      </rPr>
      <t>pardon</t>
    </r>
    <r>
      <rPr>
        <sz val="11"/>
        <color theme="1"/>
        <rFont val="맑은 고딕"/>
        <family val="3"/>
        <charset val="129"/>
        <scheme val="minor"/>
      </rPr>
      <t xml:space="preserve"> to the wrongly convicted man.</t>
    </r>
    <phoneticPr fontId="1" type="noConversion"/>
  </si>
  <si>
    <t>convict</t>
    <phoneticPr fontId="1" type="noConversion"/>
  </si>
  <si>
    <t>입증하다, ~로 기소하다</t>
    <phoneticPr fontId="1" type="noConversion"/>
  </si>
  <si>
    <r>
      <t xml:space="preserve">He was honorably </t>
    </r>
    <r>
      <rPr>
        <b/>
        <sz val="11"/>
        <color theme="1"/>
        <rFont val="맑은 고딕"/>
        <family val="3"/>
        <charset val="129"/>
        <scheme val="minor"/>
      </rPr>
      <t>discharged</t>
    </r>
    <r>
      <rPr>
        <sz val="11"/>
        <color theme="1"/>
        <rFont val="맑은 고딕"/>
        <family val="3"/>
        <charset val="129"/>
        <scheme val="minor"/>
      </rPr>
      <t xml:space="preserve"> from the military after ten years.</t>
    </r>
    <phoneticPr fontId="1" type="noConversion"/>
  </si>
  <si>
    <t>honorably</t>
    <phoneticPr fontId="1" type="noConversion"/>
  </si>
  <si>
    <t>훌륭히, 멋지게</t>
    <phoneticPr fontId="1" type="noConversion"/>
  </si>
  <si>
    <r>
      <t xml:space="preserve">Students with disabilities may be </t>
    </r>
    <r>
      <rPr>
        <b/>
        <sz val="11"/>
        <color theme="1"/>
        <rFont val="맑은 고딕"/>
        <family val="3"/>
        <charset val="129"/>
        <scheme val="minor"/>
      </rPr>
      <t>exempt</t>
    </r>
    <r>
      <rPr>
        <sz val="11"/>
        <color theme="1"/>
        <rFont val="맑은 고딕"/>
        <family val="3"/>
        <charset val="129"/>
        <scheme val="minor"/>
      </rPr>
      <t xml:space="preserve"> from the physical test.</t>
    </r>
    <phoneticPr fontId="1" type="noConversion"/>
  </si>
  <si>
    <r>
      <t xml:space="preserve">Every citizen has the right to </t>
    </r>
    <r>
      <rPr>
        <b/>
        <sz val="11"/>
        <color theme="1"/>
        <rFont val="맑은 고딕"/>
        <family val="3"/>
        <charset val="129"/>
        <scheme val="minor"/>
      </rPr>
      <t>liberty</t>
    </r>
    <r>
      <rPr>
        <sz val="11"/>
        <color theme="1"/>
        <rFont val="맑은 고딕"/>
        <family val="3"/>
        <charset val="129"/>
        <scheme val="minor"/>
      </rPr>
      <t xml:space="preserve"> and the pursuit of happiness.</t>
    </r>
    <phoneticPr fontId="1" type="noConversion"/>
  </si>
  <si>
    <r>
      <t xml:space="preserve">Abraham Lincoln </t>
    </r>
    <r>
      <rPr>
        <b/>
        <sz val="11"/>
        <color theme="1"/>
        <rFont val="맑은 고딕"/>
        <family val="3"/>
        <charset val="129"/>
        <scheme val="minor"/>
      </rPr>
      <t>emancipated</t>
    </r>
    <r>
      <rPr>
        <sz val="11"/>
        <color theme="1"/>
        <rFont val="맑은 고딕"/>
        <family val="3"/>
        <charset val="129"/>
        <scheme val="minor"/>
      </rPr>
      <t xml:space="preserve"> millions of enslaved people.</t>
    </r>
    <phoneticPr fontId="1" type="noConversion"/>
  </si>
  <si>
    <r>
      <t xml:space="preserve">Can you </t>
    </r>
    <r>
      <rPr>
        <b/>
        <sz val="11"/>
        <color theme="1"/>
        <rFont val="맑은 고딕"/>
        <family val="3"/>
        <charset val="129"/>
        <scheme val="minor"/>
      </rPr>
      <t>untie</t>
    </r>
    <r>
      <rPr>
        <sz val="11"/>
        <color theme="1"/>
        <rFont val="맑은 고딕"/>
        <family val="3"/>
        <charset val="129"/>
        <scheme val="minor"/>
      </rPr>
      <t xml:space="preserve"> this knot? It's too tight for me.</t>
    </r>
    <phoneticPr fontId="1" type="noConversion"/>
  </si>
  <si>
    <t>knot</t>
    <phoneticPr fontId="1" type="noConversion"/>
  </si>
  <si>
    <t>매듭, 노트</t>
    <phoneticPr fontId="1" type="noConversion"/>
  </si>
  <si>
    <r>
      <t xml:space="preserve">The zoo </t>
    </r>
    <r>
      <rPr>
        <b/>
        <sz val="11"/>
        <color theme="1"/>
        <rFont val="맑은 고딕"/>
        <family val="3"/>
        <charset val="129"/>
        <scheme val="minor"/>
      </rPr>
      <t>released</t>
    </r>
    <r>
      <rPr>
        <sz val="11"/>
        <color theme="1"/>
        <rFont val="맑은 고딕"/>
        <family val="3"/>
        <charset val="129"/>
        <scheme val="minor"/>
      </rPr>
      <t xml:space="preserve"> the rehabilitated eagle back into the wild.</t>
    </r>
    <phoneticPr fontId="1" type="noConversion"/>
  </si>
  <si>
    <t>rehabilitate</t>
    <phoneticPr fontId="1" type="noConversion"/>
  </si>
  <si>
    <t>복직시키다, 명예 회복시키다</t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</si>
  <si>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emancipation</t>
    </r>
    <r>
      <rPr>
        <sz val="11"/>
        <color theme="1"/>
        <rFont val="맑은 고딕"/>
        <family val="3"/>
        <charset val="129"/>
        <scheme val="minor"/>
      </rPr>
      <t xml:space="preserve"> of the slaves was a turning point in American history.</t>
    </r>
    <phoneticPr fontId="1" type="noConversion"/>
  </si>
  <si>
    <r>
      <t xml:space="preserve">It would be </t>
    </r>
    <r>
      <rPr>
        <b/>
        <sz val="11"/>
        <color theme="1"/>
        <rFont val="맑은 고딕"/>
        <family val="3"/>
        <charset val="129"/>
        <scheme val="minor"/>
      </rPr>
      <t>absurd</t>
    </r>
    <r>
      <rPr>
        <sz val="11"/>
        <color theme="1"/>
        <rFont val="맑은 고딕"/>
        <family val="3"/>
        <charset val="129"/>
        <scheme val="minor"/>
      </rPr>
      <t xml:space="preserve"> to go hiking in a snowstorm.</t>
    </r>
    <phoneticPr fontId="1" type="noConversion"/>
  </si>
  <si>
    <r>
      <t xml:space="preserve">It was </t>
    </r>
    <r>
      <rPr>
        <b/>
        <sz val="11"/>
        <color theme="1"/>
        <rFont val="맑은 고딕"/>
        <family val="3"/>
        <charset val="129"/>
        <scheme val="minor"/>
      </rPr>
      <t>foolish</t>
    </r>
    <r>
      <rPr>
        <sz val="11"/>
        <color theme="1"/>
        <rFont val="맑은 고딕"/>
        <family val="3"/>
        <charset val="129"/>
        <scheme val="minor"/>
      </rPr>
      <t xml:space="preserve"> of him to invest all his money in one stock.</t>
    </r>
    <phoneticPr fontId="1" type="noConversion"/>
  </si>
  <si>
    <r>
      <t xml:space="preserve">The lecture was so </t>
    </r>
    <r>
      <rPr>
        <b/>
        <sz val="11"/>
        <color theme="1"/>
        <rFont val="맑은 고딕"/>
        <family val="3"/>
        <charset val="129"/>
        <scheme val="minor"/>
      </rPr>
      <t>dull</t>
    </r>
    <r>
      <rPr>
        <sz val="11"/>
        <color theme="1"/>
        <rFont val="맑은 고딕"/>
        <family val="3"/>
        <charset val="129"/>
        <scheme val="minor"/>
      </rPr>
      <t xml:space="preserve"> that half the class fell asleep.</t>
    </r>
    <phoneticPr fontId="1" type="noConversion"/>
  </si>
  <si>
    <t>우둔한, 지루한</t>
    <phoneticPr fontId="1" type="noConversion"/>
  </si>
  <si>
    <r>
      <t xml:space="preserve">It was </t>
    </r>
    <r>
      <rPr>
        <b/>
        <sz val="11"/>
        <color theme="1"/>
        <rFont val="맑은 고딕"/>
        <family val="3"/>
        <charset val="129"/>
        <scheme val="minor"/>
      </rPr>
      <t>silly</t>
    </r>
    <r>
      <rPr>
        <sz val="11"/>
        <color theme="1"/>
        <rFont val="맑은 고딕"/>
        <family val="3"/>
        <charset val="129"/>
        <scheme val="minor"/>
      </rPr>
      <t xml:space="preserve"> of me to forget my own phone number.</t>
    </r>
    <phoneticPr fontId="1" type="noConversion"/>
  </si>
  <si>
    <r>
      <t xml:space="preserve">Quitting school was the greatest </t>
    </r>
    <r>
      <rPr>
        <b/>
        <sz val="11"/>
        <color theme="1"/>
        <rFont val="맑은 고딕"/>
        <family val="3"/>
        <charset val="129"/>
        <scheme val="minor"/>
      </rPr>
      <t>folly</t>
    </r>
    <r>
      <rPr>
        <sz val="11"/>
        <color theme="1"/>
        <rFont val="맑은 고딕"/>
        <family val="3"/>
        <charset val="129"/>
        <scheme val="minor"/>
      </rPr>
      <t xml:space="preserve"> of his youth.</t>
    </r>
    <phoneticPr fontId="1" type="noConversion"/>
  </si>
  <si>
    <r>
      <t xml:space="preserve">He </t>
    </r>
    <r>
      <rPr>
        <b/>
        <sz val="11"/>
        <color theme="1"/>
        <rFont val="맑은 고딕"/>
        <family val="3"/>
        <charset val="129"/>
        <scheme val="minor"/>
      </rPr>
      <t>committed</t>
    </r>
    <r>
      <rPr>
        <sz val="11"/>
        <color theme="1"/>
        <rFont val="맑은 고딕"/>
        <family val="3"/>
        <charset val="129"/>
        <scheme val="minor"/>
      </rPr>
      <t xml:space="preserve"> a serious error that cost the company millions.</t>
    </r>
    <phoneticPr fontId="1" type="noConversion"/>
  </si>
  <si>
    <t>범하다/저지르다, 위탁하다</t>
    <phoneticPr fontId="1" type="noConversion"/>
  </si>
  <si>
    <r>
      <t xml:space="preserve">Let's try to find a </t>
    </r>
    <r>
      <rPr>
        <b/>
        <sz val="11"/>
        <color theme="1"/>
        <rFont val="맑은 고딕"/>
        <family val="3"/>
        <charset val="129"/>
        <scheme val="minor"/>
      </rPr>
      <t>rational</t>
    </r>
    <r>
      <rPr>
        <sz val="11"/>
        <color theme="1"/>
        <rFont val="맑은 고딕"/>
        <family val="3"/>
        <charset val="129"/>
        <scheme val="minor"/>
      </rPr>
      <t xml:space="preserve"> solution to this problem.</t>
    </r>
    <phoneticPr fontId="1" type="noConversion"/>
  </si>
  <si>
    <r>
      <t xml:space="preserve">Human </t>
    </r>
    <r>
      <rPr>
        <b/>
        <sz val="11"/>
        <color theme="1"/>
        <rFont val="맑은 고딕"/>
        <family val="3"/>
        <charset val="129"/>
        <scheme val="minor"/>
      </rPr>
      <t>beings</t>
    </r>
    <r>
      <rPr>
        <sz val="11"/>
        <color theme="1"/>
        <rFont val="맑은 고딕"/>
        <family val="3"/>
        <charset val="129"/>
        <scheme val="minor"/>
      </rPr>
      <t xml:space="preserve"> have the ability to think and reason.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</si>
  <si>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succession</t>
    </r>
    <r>
      <rPr>
        <sz val="11"/>
        <color theme="1"/>
        <rFont val="맑은 고딕"/>
        <family val="3"/>
        <charset val="129"/>
        <scheme val="minor"/>
      </rPr>
      <t xml:space="preserve"> of events led to a major political change.</t>
    </r>
    <phoneticPr fontId="1" type="noConversion"/>
  </si>
  <si>
    <r>
      <t xml:space="preserve">It is difficult to </t>
    </r>
    <r>
      <rPr>
        <b/>
        <sz val="11"/>
        <color theme="1"/>
        <rFont val="맑은 고딕"/>
        <family val="3"/>
        <charset val="129"/>
        <scheme val="minor"/>
      </rPr>
      <t>comprehend</t>
    </r>
    <r>
      <rPr>
        <sz val="11"/>
        <color theme="1"/>
        <rFont val="맑은 고딕"/>
        <family val="3"/>
        <charset val="129"/>
        <scheme val="minor"/>
      </rPr>
      <t xml:space="preserve"> the vastness of the universe.</t>
    </r>
    <phoneticPr fontId="1" type="noConversion"/>
  </si>
  <si>
    <t>vastness</t>
    <phoneticPr fontId="1" type="noConversion"/>
  </si>
  <si>
    <t>광대함</t>
    <phoneticPr fontId="1" type="noConversion"/>
  </si>
  <si>
    <r>
      <t xml:space="preserve">She </t>
    </r>
    <r>
      <rPr>
        <b/>
        <sz val="11"/>
        <color theme="1"/>
        <rFont val="맑은 고딕"/>
        <family val="3"/>
        <charset val="129"/>
        <scheme val="minor"/>
      </rPr>
      <t>tenderly</t>
    </r>
    <r>
      <rPr>
        <sz val="11"/>
        <color theme="1"/>
        <rFont val="맑은 고딕"/>
        <family val="3"/>
        <charset val="129"/>
        <scheme val="minor"/>
      </rPr>
      <t xml:space="preserve"> held the newborn baby in her arms.</t>
    </r>
    <phoneticPr fontId="1" type="noConversion"/>
  </si>
  <si>
    <t>Day2</t>
    <phoneticPr fontId="1" type="noConversion"/>
  </si>
  <si>
    <t>catastrophe</t>
    <phoneticPr fontId="1" type="noConversion"/>
  </si>
  <si>
    <t>재앙, 파국</t>
    <phoneticPr fontId="1" type="noConversion"/>
  </si>
  <si>
    <t>adversity</t>
    <phoneticPr fontId="1" type="noConversion"/>
  </si>
  <si>
    <t>calamity</t>
    <phoneticPr fontId="1" type="noConversion"/>
  </si>
  <si>
    <t>misfortune</t>
    <phoneticPr fontId="1" type="noConversion"/>
  </si>
  <si>
    <t>accuse</t>
    <phoneticPr fontId="1" type="noConversion"/>
  </si>
  <si>
    <t>prosecute</t>
    <phoneticPr fontId="1" type="noConversion"/>
  </si>
  <si>
    <t>gratitude</t>
    <phoneticPr fontId="1" type="noConversion"/>
  </si>
  <si>
    <t>admit</t>
    <phoneticPr fontId="1" type="noConversion"/>
  </si>
  <si>
    <t>partake</t>
    <phoneticPr fontId="1" type="noConversion"/>
  </si>
  <si>
    <t>induction</t>
    <phoneticPr fontId="1" type="noConversion"/>
  </si>
  <si>
    <t>confess</t>
    <phoneticPr fontId="1" type="noConversion"/>
  </si>
  <si>
    <t>deed</t>
    <phoneticPr fontId="1" type="noConversion"/>
  </si>
  <si>
    <t>brisk</t>
    <phoneticPr fontId="1" type="noConversion"/>
  </si>
  <si>
    <t>vigorous</t>
    <phoneticPr fontId="1" type="noConversion"/>
  </si>
  <si>
    <t>strenuous</t>
    <phoneticPr fontId="1" type="noConversion"/>
  </si>
  <si>
    <t>keen</t>
    <phoneticPr fontId="1" type="noConversion"/>
  </si>
  <si>
    <t>acute</t>
    <phoneticPr fontId="1" type="noConversion"/>
  </si>
  <si>
    <t>compromise</t>
    <phoneticPr fontId="1" type="noConversion"/>
  </si>
  <si>
    <t>mediate</t>
    <phoneticPr fontId="1" type="noConversion"/>
  </si>
  <si>
    <t>reconcile</t>
    <phoneticPr fontId="1" type="noConversion"/>
  </si>
  <si>
    <t>adjourn</t>
    <phoneticPr fontId="1" type="noConversion"/>
  </si>
  <si>
    <t>defer</t>
    <phoneticPr fontId="1" type="noConversion"/>
  </si>
  <si>
    <t>halt</t>
    <phoneticPr fontId="1" type="noConversion"/>
  </si>
  <si>
    <t>cease</t>
    <phoneticPr fontId="1" type="noConversion"/>
  </si>
  <si>
    <t>adorn</t>
    <phoneticPr fontId="1" type="noConversion"/>
  </si>
  <si>
    <t>shrewd</t>
    <phoneticPr fontId="1" type="noConversion"/>
  </si>
  <si>
    <t>cunning</t>
    <phoneticPr fontId="1" type="noConversion"/>
  </si>
  <si>
    <t>ingenious</t>
    <phoneticPr fontId="1" type="noConversion"/>
  </si>
  <si>
    <t>sly</t>
    <phoneticPr fontId="1" type="noConversion"/>
  </si>
  <si>
    <t>underhand</t>
    <phoneticPr fontId="1" type="noConversion"/>
  </si>
  <si>
    <t>mischievous</t>
    <phoneticPr fontId="1" type="noConversion"/>
  </si>
  <si>
    <t>beware</t>
    <phoneticPr fontId="1" type="noConversion"/>
  </si>
  <si>
    <t>congress</t>
    <phoneticPr fontId="1" type="noConversion"/>
  </si>
  <si>
    <t>parliamentary</t>
    <phoneticPr fontId="1" type="noConversion"/>
  </si>
  <si>
    <t>품위 있는, 의회의</t>
    <phoneticPr fontId="1" type="noConversion"/>
  </si>
  <si>
    <t>counsel</t>
    <phoneticPr fontId="1" type="noConversion"/>
  </si>
  <si>
    <t>acquaint</t>
    <phoneticPr fontId="1" type="noConversion"/>
  </si>
  <si>
    <t>propagate</t>
    <phoneticPr fontId="1" type="noConversion"/>
  </si>
  <si>
    <t>sway</t>
    <phoneticPr fontId="1" type="noConversion"/>
  </si>
  <si>
    <t>persuade</t>
    <phoneticPr fontId="1" type="noConversion"/>
  </si>
  <si>
    <t>induce</t>
    <phoneticPr fontId="1" type="noConversion"/>
  </si>
  <si>
    <t>inducement</t>
    <phoneticPr fontId="1" type="noConversion"/>
  </si>
  <si>
    <t>impress</t>
    <phoneticPr fontId="1" type="noConversion"/>
  </si>
  <si>
    <t>seal</t>
    <phoneticPr fontId="1" type="noConversion"/>
  </si>
  <si>
    <t>sacrifice</t>
    <phoneticPr fontId="1" type="noConversion"/>
  </si>
  <si>
    <t>devote</t>
    <phoneticPr fontId="1" type="noConversion"/>
  </si>
  <si>
    <t>afflict</t>
    <phoneticPr fontId="1" type="noConversion"/>
  </si>
  <si>
    <t>pang</t>
    <phoneticPr fontId="1" type="noConversion"/>
  </si>
  <si>
    <t>conscience</t>
    <phoneticPr fontId="1" type="noConversion"/>
  </si>
  <si>
    <t>hardship</t>
    <phoneticPr fontId="1" type="noConversion"/>
  </si>
  <si>
    <t>torment</t>
    <phoneticPr fontId="1" type="noConversion"/>
  </si>
  <si>
    <t>inflict</t>
    <phoneticPr fontId="1" type="noConversion"/>
  </si>
  <si>
    <t>annoy</t>
    <phoneticPr fontId="1" type="noConversion"/>
  </si>
  <si>
    <t>mar</t>
    <phoneticPr fontId="1" type="noConversion"/>
  </si>
  <si>
    <t>slaughter</t>
    <phoneticPr fontId="1" type="noConversion"/>
  </si>
  <si>
    <t>massacre</t>
    <phoneticPr fontId="1" type="noConversion"/>
  </si>
  <si>
    <t>역경, 불운</t>
    <phoneticPr fontId="1" type="noConversion"/>
  </si>
  <si>
    <t>재난, 불행</t>
    <phoneticPr fontId="1" type="noConversion"/>
  </si>
  <si>
    <t>비난하다, 고소하다</t>
    <phoneticPr fontId="1" type="noConversion"/>
  </si>
  <si>
    <t>수행하다, 종사하다</t>
    <phoneticPr fontId="1" type="noConversion"/>
  </si>
  <si>
    <t>인정하다, 감사하다</t>
    <phoneticPr fontId="1" type="noConversion"/>
  </si>
  <si>
    <t>감사, 사의</t>
    <phoneticPr fontId="1" type="noConversion"/>
  </si>
  <si>
    <t>인정하다, 들이다</t>
    <phoneticPr fontId="1" type="noConversion"/>
  </si>
  <si>
    <t>참여하다, 함께먹다</t>
    <phoneticPr fontId="1" type="noConversion"/>
  </si>
  <si>
    <t>유도, 입사</t>
    <phoneticPr fontId="1" type="noConversion"/>
  </si>
  <si>
    <t>deduction</t>
    <phoneticPr fontId="1" type="noConversion"/>
  </si>
  <si>
    <t>빼기, 공제</t>
    <phoneticPr fontId="1" type="noConversion"/>
  </si>
  <si>
    <t>고백하다, 인정하다</t>
    <phoneticPr fontId="1" type="noConversion"/>
  </si>
  <si>
    <t>행위, 사실</t>
    <phoneticPr fontId="1" type="noConversion"/>
  </si>
  <si>
    <t>활발한, 빠른</t>
    <phoneticPr fontId="1" type="noConversion"/>
  </si>
  <si>
    <t>힘찬, 박력있는</t>
    <phoneticPr fontId="1" type="noConversion"/>
  </si>
  <si>
    <t>열렬한</t>
    <phoneticPr fontId="1" type="noConversion"/>
  </si>
  <si>
    <t>날카로운, 강렬한</t>
    <phoneticPr fontId="1" type="noConversion"/>
  </si>
  <si>
    <t>격심한, 날카로운</t>
    <phoneticPr fontId="1" type="noConversion"/>
  </si>
  <si>
    <t>타협하다, 화해하다</t>
    <phoneticPr fontId="1" type="noConversion"/>
  </si>
  <si>
    <t>중재하다</t>
    <phoneticPr fontId="1" type="noConversion"/>
  </si>
  <si>
    <t>화해시키다, 조정하다</t>
    <phoneticPr fontId="1" type="noConversion"/>
  </si>
  <si>
    <t>따르다, 순응시키다</t>
    <phoneticPr fontId="1" type="noConversion"/>
  </si>
  <si>
    <t>연기하다</t>
    <phoneticPr fontId="1" type="noConversion"/>
  </si>
  <si>
    <t>연기하다, 미루다</t>
    <phoneticPr fontId="1" type="noConversion"/>
  </si>
  <si>
    <t>정지하다</t>
    <phoneticPr fontId="1" type="noConversion"/>
  </si>
  <si>
    <t>중지하다</t>
    <phoneticPr fontId="1" type="noConversion"/>
  </si>
  <si>
    <t>꾸미다, 장식하다</t>
    <phoneticPr fontId="1" type="noConversion"/>
  </si>
  <si>
    <t>교활한</t>
    <phoneticPr fontId="1" type="noConversion"/>
  </si>
  <si>
    <t>교활한, 영리한</t>
    <phoneticPr fontId="1" type="noConversion"/>
  </si>
  <si>
    <t>교묘한</t>
    <phoneticPr fontId="1" type="noConversion"/>
  </si>
  <si>
    <t>음흉스러운</t>
    <phoneticPr fontId="1" type="noConversion"/>
  </si>
  <si>
    <t>장난스러운</t>
    <phoneticPr fontId="1" type="noConversion"/>
  </si>
  <si>
    <t>조심하다, 주의하다</t>
    <phoneticPr fontId="1" type="noConversion"/>
  </si>
  <si>
    <t>회의, 대회</t>
    <phoneticPr fontId="1" type="noConversion"/>
  </si>
  <si>
    <t>충고하다, 생각하다</t>
    <phoneticPr fontId="1" type="noConversion"/>
  </si>
  <si>
    <t>알리다</t>
    <phoneticPr fontId="1" type="noConversion"/>
  </si>
  <si>
    <t>선전하다</t>
    <phoneticPr fontId="1" type="noConversion"/>
  </si>
  <si>
    <t>pretend</t>
    <phoneticPr fontId="1" type="noConversion"/>
  </si>
  <si>
    <t>가짜의, 흉내내다</t>
    <phoneticPr fontId="1" type="noConversion"/>
  </si>
  <si>
    <t>흔들리다</t>
    <phoneticPr fontId="1" type="noConversion"/>
  </si>
  <si>
    <t>설득시키다</t>
    <phoneticPr fontId="1" type="noConversion"/>
  </si>
  <si>
    <t>dissuade</t>
    <phoneticPr fontId="1" type="noConversion"/>
  </si>
  <si>
    <t>단념시키다</t>
    <phoneticPr fontId="1" type="noConversion"/>
  </si>
  <si>
    <t>권하다, 야기하다</t>
    <phoneticPr fontId="1" type="noConversion"/>
  </si>
  <si>
    <t>자극, 유인</t>
    <phoneticPr fontId="1" type="noConversion"/>
  </si>
  <si>
    <t>인상을주다, 감동시키다</t>
    <phoneticPr fontId="1" type="noConversion"/>
  </si>
  <si>
    <t>날인하다, 도장</t>
    <phoneticPr fontId="1" type="noConversion"/>
  </si>
  <si>
    <t>희생하다</t>
    <phoneticPr fontId="1" type="noConversion"/>
  </si>
  <si>
    <t>바치다, 헌납하다</t>
    <phoneticPr fontId="1" type="noConversion"/>
  </si>
  <si>
    <t>고통을 주다</t>
    <phoneticPr fontId="1" type="noConversion"/>
  </si>
  <si>
    <t>distress</t>
    <phoneticPr fontId="1" type="noConversion"/>
  </si>
  <si>
    <t>격통</t>
    <phoneticPr fontId="1" type="noConversion"/>
  </si>
  <si>
    <t>양심</t>
    <phoneticPr fontId="1" type="noConversion"/>
  </si>
  <si>
    <t>시련</t>
    <phoneticPr fontId="1" type="noConversion"/>
  </si>
  <si>
    <t>고문하다, 괴롭히다</t>
    <phoneticPr fontId="1" type="noConversion"/>
  </si>
  <si>
    <t>짜증나게 하다</t>
    <phoneticPr fontId="1" type="noConversion"/>
  </si>
  <si>
    <t>손상하다</t>
    <phoneticPr fontId="1" type="noConversion"/>
  </si>
  <si>
    <t>spoil</t>
    <phoneticPr fontId="1" type="noConversion"/>
  </si>
  <si>
    <t>못쓰게 하다</t>
    <phoneticPr fontId="1" type="noConversion"/>
  </si>
  <si>
    <t>학살하다</t>
    <phoneticPr fontId="1" type="noConversion"/>
  </si>
  <si>
    <t>All employees must conform to the company's safety regulations.</t>
  </si>
  <si>
    <t>The judge decided to adjourn the hearing until next Monday.</t>
  </si>
  <si>
    <t>She chose to defer her college admission for one year.</t>
  </si>
  <si>
    <t>The officer ordered the soldiers to halt at the checkpoint.</t>
  </si>
  <si>
    <t>The shrewd businessman made a fortune through smart investments.</t>
  </si>
  <si>
    <t>The cunning fox escaped the trap set by the hunter.</t>
  </si>
  <si>
    <t>The engineer came up with an ingenious solution to the problem.</t>
  </si>
  <si>
    <t>The sly cat quietly crept up on the unsuspecting bird.</t>
  </si>
  <si>
    <t>He used underhand tactics to win the contract from his competitors.</t>
  </si>
  <si>
    <t>The mischievous boy hid his sister's shoes under the bed.</t>
  </si>
  <si>
    <t>Delegates from around the world attended the international congress.</t>
  </si>
  <si>
    <t>The lawyer counseled his client to remain silent during the trial.</t>
  </si>
  <si>
    <t>Let me acquaint you with the new rules of the organization.</t>
  </si>
  <si>
    <t>The organization works to propagate awareness about climate change.</t>
  </si>
  <si>
    <t>The tall trees swayed gently in the breeze.</t>
  </si>
  <si>
    <t>She persuaded her parents to let her study abroad.</t>
  </si>
  <si>
    <t>Nothing could induce him to change his mind about the decision.</t>
  </si>
  <si>
    <t>The company offered a cash inducement to attract new customers.</t>
  </si>
  <si>
    <t>Her speech impressed everyone at the conference.</t>
  </si>
  <si>
    <t>Please sign and seal the envelope before mailing it.</t>
  </si>
  <si>
    <t>Parents often sacrifice their own needs for the sake of their children.</t>
  </si>
  <si>
    <t>She devoted her entire career to helping underprivileged communities.</t>
  </si>
  <si>
    <t>The disease afflicted thousands of people in the region.</t>
  </si>
  <si>
    <t>He felt a sharp pang of guilt after lying to his friend.</t>
  </si>
  <si>
    <t>His conscience would not allow him to ignore the injustice.</t>
  </si>
  <si>
    <t>Many families endured great hardship during the economic crisis.</t>
  </si>
  <si>
    <t>The memory of the accident continued to torment her for years.</t>
  </si>
  <si>
    <t>The war inflicted severe damage on the country's infrastructure.</t>
  </si>
  <si>
    <t>The constant noise from the neighbors began to annoy everyone.</t>
  </si>
  <si>
    <t>The scandal marred the politician's otherwise successful career.</t>
  </si>
  <si>
    <t>Thousands of innocent civilians were slaughtered during the conflict.</t>
  </si>
  <si>
    <t>The soldiers massacred the villagers in a horrific act of violence.</t>
  </si>
  <si>
    <t>The tax deduction helped reduce the amount she owed.</t>
  </si>
  <si>
    <t>He pretended to be asleep when his mother entered the room.</t>
  </si>
  <si>
    <t>Her friends tried to dissuade her from quitting her stable job.</t>
  </si>
  <si>
    <t>The news of the accident caused great distress to the family.</t>
  </si>
  <si>
    <t>Too much rain can spoil the crops before harvest.</t>
  </si>
  <si>
    <t>She adorned her room with fresh flowers and colorful paintings.</t>
  </si>
  <si>
    <t>The parliamentary debate lasted for over five hours.</t>
  </si>
  <si>
    <t>Cease fire! The enemy has surrendered.</t>
  </si>
  <si>
    <t>Beware of pickpockets when traveling in crowded areas.</t>
  </si>
  <si>
    <t>상냥하게, 부드럽게</t>
    <phoneticPr fontId="1" type="noConversion"/>
  </si>
  <si>
    <r>
      <t xml:space="preserve">The doctor assured her that the tumor was </t>
    </r>
    <r>
      <rPr>
        <b/>
        <sz val="11"/>
        <color theme="1"/>
        <rFont val="맑은 고딕"/>
        <family val="3"/>
        <charset val="129"/>
        <scheme val="minor"/>
      </rPr>
      <t>benign</t>
    </r>
    <r>
      <rPr>
        <sz val="11"/>
        <color theme="1"/>
        <rFont val="맑은 고딕"/>
        <family val="3"/>
        <charset val="129"/>
        <scheme val="minor"/>
      </rPr>
      <t xml:space="preserve"> and harmless.</t>
    </r>
    <phoneticPr fontId="1" type="noConversion"/>
  </si>
  <si>
    <r>
      <t xml:space="preserve">He struggled </t>
    </r>
    <r>
      <rPr>
        <b/>
        <sz val="11"/>
        <color theme="1"/>
        <rFont val="맑은 고딕"/>
        <family val="3"/>
        <charset val="129"/>
        <scheme val="minor"/>
      </rPr>
      <t>to live up</t>
    </r>
    <r>
      <rPr>
        <sz val="11"/>
        <color theme="1"/>
        <rFont val="맑은 고딕"/>
        <family val="3"/>
        <charset val="129"/>
        <scheme val="minor"/>
      </rPr>
      <t xml:space="preserve"> to his parents' high expectations.</t>
    </r>
    <phoneticPr fontId="1" type="noConversion"/>
  </si>
  <si>
    <r>
      <t xml:space="preserve">The dispute was resolved through </t>
    </r>
    <r>
      <rPr>
        <b/>
        <sz val="11"/>
        <color theme="1"/>
        <rFont val="맑은 고딕"/>
        <family val="3"/>
        <charset val="129"/>
        <scheme val="minor"/>
      </rPr>
      <t>mediation</t>
    </r>
    <r>
      <rPr>
        <sz val="11"/>
        <color theme="1"/>
        <rFont val="맑은 고딕"/>
        <family val="3"/>
        <charset val="129"/>
        <scheme val="minor"/>
      </rPr>
      <t xml:space="preserve"> rather than going to court.</t>
    </r>
    <phoneticPr fontId="1" type="noConversion"/>
  </si>
  <si>
    <r>
      <t xml:space="preserve">These plants are </t>
    </r>
    <r>
      <rPr>
        <b/>
        <sz val="11"/>
        <color theme="1"/>
        <rFont val="맑은 고딕"/>
        <family val="3"/>
        <charset val="129"/>
        <scheme val="minor"/>
      </rPr>
      <t>indigenous</t>
    </r>
    <r>
      <rPr>
        <sz val="11"/>
        <color theme="1"/>
        <rFont val="맑은 고딕"/>
        <family val="3"/>
        <charset val="129"/>
        <scheme val="minor"/>
      </rPr>
      <t xml:space="preserve"> to the tropical rainforests of South America.</t>
    </r>
    <phoneticPr fontId="1" type="noConversion"/>
  </si>
  <si>
    <t>Day3</t>
    <phoneticPr fontId="1" type="noConversion"/>
  </si>
  <si>
    <t>괴롭히다, 고통</t>
    <phoneticPr fontId="1" type="noConversion"/>
  </si>
  <si>
    <t>agony</t>
    <phoneticPr fontId="1" type="noConversion"/>
  </si>
  <si>
    <t>고민, 번민</t>
    <phoneticPr fontId="1" type="noConversion"/>
  </si>
  <si>
    <t>obsess</t>
    <phoneticPr fontId="1" type="noConversion"/>
  </si>
  <si>
    <t>grief</t>
    <phoneticPr fontId="1" type="noConversion"/>
  </si>
  <si>
    <t>insane</t>
    <phoneticPr fontId="1" type="noConversion"/>
  </si>
  <si>
    <t>bitter</t>
    <phoneticPr fontId="1" type="noConversion"/>
  </si>
  <si>
    <t>sore</t>
    <phoneticPr fontId="1" type="noConversion"/>
  </si>
  <si>
    <t>all that</t>
    <phoneticPr fontId="1" type="noConversion"/>
  </si>
  <si>
    <t>severe</t>
    <phoneticPr fontId="1" type="noConversion"/>
  </si>
  <si>
    <t>anquish</t>
    <phoneticPr fontId="1" type="noConversion"/>
  </si>
  <si>
    <t>bother</t>
    <phoneticPr fontId="1" type="noConversion"/>
  </si>
  <si>
    <t>anxious</t>
    <phoneticPr fontId="1" type="noConversion"/>
  </si>
  <si>
    <t>apprehend</t>
    <phoneticPr fontId="1" type="noConversion"/>
  </si>
  <si>
    <t>fear</t>
    <phoneticPr fontId="1" type="noConversion"/>
  </si>
  <si>
    <t>inconvenience</t>
    <phoneticPr fontId="1" type="noConversion"/>
  </si>
  <si>
    <t>fright</t>
    <phoneticPr fontId="1" type="noConversion"/>
  </si>
  <si>
    <t>terror</t>
    <phoneticPr fontId="1" type="noConversion"/>
  </si>
  <si>
    <t>grim</t>
    <phoneticPr fontId="1" type="noConversion"/>
  </si>
  <si>
    <t>cruel</t>
    <phoneticPr fontId="1" type="noConversion"/>
  </si>
  <si>
    <t>심한, 엄한</t>
    <phoneticPr fontId="1" type="noConversion"/>
  </si>
  <si>
    <t>rigor</t>
    <phoneticPr fontId="1" type="noConversion"/>
  </si>
  <si>
    <t>strictness</t>
    <phoneticPr fontId="1" type="noConversion"/>
  </si>
  <si>
    <t>coward</t>
    <phoneticPr fontId="1" type="noConversion"/>
  </si>
  <si>
    <t>dread</t>
    <phoneticPr fontId="1" type="noConversion"/>
  </si>
  <si>
    <t>formidable</t>
    <phoneticPr fontId="1" type="noConversion"/>
  </si>
  <si>
    <t>fearful</t>
    <phoneticPr fontId="1" type="noConversion"/>
  </si>
  <si>
    <t>dismay</t>
    <phoneticPr fontId="1" type="noConversion"/>
  </si>
  <si>
    <t>appall</t>
    <phoneticPr fontId="1" type="noConversion"/>
  </si>
  <si>
    <t>terrify</t>
    <phoneticPr fontId="1" type="noConversion"/>
  </si>
  <si>
    <t>menace</t>
    <phoneticPr fontId="1" type="noConversion"/>
  </si>
  <si>
    <t>delegate</t>
    <phoneticPr fontId="1" type="noConversion"/>
  </si>
  <si>
    <t>typical</t>
    <phoneticPr fontId="1" type="noConversion"/>
  </si>
  <si>
    <t>representative</t>
    <phoneticPr fontId="1" type="noConversion"/>
  </si>
  <si>
    <t>attorney</t>
    <phoneticPr fontId="1" type="noConversion"/>
  </si>
  <si>
    <t>secretary</t>
    <phoneticPr fontId="1" type="noConversion"/>
  </si>
  <si>
    <t>sidge</t>
    <phoneticPr fontId="1" type="noConversion"/>
  </si>
  <si>
    <t>assault</t>
    <phoneticPr fontId="1" type="noConversion"/>
  </si>
  <si>
    <t>aggression</t>
    <phoneticPr fontId="1" type="noConversion"/>
  </si>
  <si>
    <t>beset</t>
    <phoneticPr fontId="1" type="noConversion"/>
  </si>
  <si>
    <t>offense</t>
    <phoneticPr fontId="1" type="noConversion"/>
  </si>
  <si>
    <t>insult</t>
    <phoneticPr fontId="1" type="noConversion"/>
  </si>
  <si>
    <t>모욕하다</t>
    <phoneticPr fontId="1" type="noConversion"/>
  </si>
  <si>
    <t>misdeed</t>
    <phoneticPr fontId="1" type="noConversion"/>
  </si>
  <si>
    <t>raid</t>
    <phoneticPr fontId="1" type="noConversion"/>
  </si>
  <si>
    <t>trespass</t>
    <phoneticPr fontId="1" type="noConversion"/>
  </si>
  <si>
    <t>invade</t>
    <phoneticPr fontId="1" type="noConversion"/>
  </si>
  <si>
    <t>assent</t>
    <phoneticPr fontId="1" type="noConversion"/>
  </si>
  <si>
    <t>consent</t>
    <phoneticPr fontId="1" type="noConversion"/>
  </si>
  <si>
    <t>dissent</t>
    <phoneticPr fontId="1" type="noConversion"/>
  </si>
  <si>
    <t>approve</t>
    <phoneticPr fontId="1" type="noConversion"/>
  </si>
  <si>
    <t>concord</t>
    <phoneticPr fontId="1" type="noConversion"/>
  </si>
  <si>
    <t>discord</t>
    <phoneticPr fontId="1" type="noConversion"/>
  </si>
  <si>
    <t>equilibrium</t>
    <phoneticPr fontId="1" type="noConversion"/>
  </si>
  <si>
    <t>accord</t>
    <phoneticPr fontId="1" type="noConversion"/>
  </si>
  <si>
    <t>coincide</t>
    <phoneticPr fontId="1" type="noConversion"/>
  </si>
  <si>
    <t>interpretation</t>
    <phoneticPr fontId="1" type="noConversion"/>
  </si>
  <si>
    <t>bargain</t>
    <phoneticPr fontId="1" type="noConversion"/>
  </si>
  <si>
    <t>compact</t>
    <phoneticPr fontId="1" type="noConversion"/>
  </si>
  <si>
    <t>formation</t>
    <phoneticPr fontId="1" type="noConversion"/>
  </si>
  <si>
    <t>venerable</t>
    <phoneticPr fontId="1" type="noConversion"/>
  </si>
  <si>
    <t>reverend</t>
    <phoneticPr fontId="1" type="noConversion"/>
  </si>
  <si>
    <t>homage</t>
    <phoneticPr fontId="1" type="noConversion"/>
  </si>
  <si>
    <t>piety</t>
    <phoneticPr fontId="1" type="noConversion"/>
  </si>
  <si>
    <t>loyalty</t>
    <phoneticPr fontId="1" type="noConversion"/>
  </si>
  <si>
    <t>ally</t>
    <phoneticPr fontId="1" type="noConversion"/>
  </si>
  <si>
    <t>cohere</t>
    <phoneticPr fontId="1" type="noConversion"/>
  </si>
  <si>
    <t>transact</t>
    <phoneticPr fontId="1" type="noConversion"/>
  </si>
  <si>
    <t>manipulate</t>
    <phoneticPr fontId="1" type="noConversion"/>
  </si>
  <si>
    <t>regulate</t>
    <phoneticPr fontId="1" type="noConversion"/>
  </si>
  <si>
    <t>allot</t>
    <phoneticPr fontId="1" type="noConversion"/>
  </si>
  <si>
    <t>assign</t>
    <phoneticPr fontId="1" type="noConversion"/>
  </si>
  <si>
    <t>사로잡다</t>
    <phoneticPr fontId="1" type="noConversion"/>
  </si>
  <si>
    <t>슬픔, 비탄</t>
    <phoneticPr fontId="1" type="noConversion"/>
  </si>
  <si>
    <t>제정신이 아닌</t>
    <phoneticPr fontId="1" type="noConversion"/>
  </si>
  <si>
    <t>혹독한, 고통스러운</t>
    <phoneticPr fontId="1" type="noConversion"/>
  </si>
  <si>
    <t>아픈</t>
    <phoneticPr fontId="1" type="noConversion"/>
  </si>
  <si>
    <t>그렇게까지</t>
    <phoneticPr fontId="1" type="noConversion"/>
  </si>
  <si>
    <t>고민, 괴로움</t>
    <phoneticPr fontId="1" type="noConversion"/>
  </si>
  <si>
    <t>성가시게 하다</t>
    <phoneticPr fontId="1" type="noConversion"/>
  </si>
  <si>
    <t>걱정하다</t>
    <phoneticPr fontId="1" type="noConversion"/>
  </si>
  <si>
    <t>poverty</t>
    <phoneticPr fontId="1" type="noConversion"/>
  </si>
  <si>
    <t>빈곤, 가난</t>
    <phoneticPr fontId="1" type="noConversion"/>
  </si>
  <si>
    <t>worsen</t>
    <phoneticPr fontId="1" type="noConversion"/>
  </si>
  <si>
    <t>불편</t>
    <phoneticPr fontId="1" type="noConversion"/>
  </si>
  <si>
    <t>놀람, 공포</t>
    <phoneticPr fontId="1" type="noConversion"/>
  </si>
  <si>
    <t>공포</t>
    <phoneticPr fontId="1" type="noConversion"/>
  </si>
  <si>
    <t>냉혹한</t>
    <phoneticPr fontId="1" type="noConversion"/>
  </si>
  <si>
    <t>무서운, 냉혹한</t>
    <phoneticPr fontId="1" type="noConversion"/>
  </si>
  <si>
    <t>가혹, 엄격함</t>
    <phoneticPr fontId="1" type="noConversion"/>
  </si>
  <si>
    <t>엄격함</t>
    <phoneticPr fontId="1" type="noConversion"/>
  </si>
  <si>
    <t>겁쟁이</t>
    <phoneticPr fontId="1" type="noConversion"/>
  </si>
  <si>
    <t>무서워하다</t>
    <phoneticPr fontId="1" type="noConversion"/>
  </si>
  <si>
    <t>겁나는</t>
    <phoneticPr fontId="1" type="noConversion"/>
  </si>
  <si>
    <t>놀라게 하다</t>
    <phoneticPr fontId="1" type="noConversion"/>
  </si>
  <si>
    <t>소름끼치게 하다</t>
    <phoneticPr fontId="1" type="noConversion"/>
  </si>
  <si>
    <t>위협, 협박</t>
    <phoneticPr fontId="1" type="noConversion"/>
  </si>
  <si>
    <t>대표자, 위임하다</t>
    <phoneticPr fontId="1" type="noConversion"/>
  </si>
  <si>
    <t>전형적인</t>
    <phoneticPr fontId="1" type="noConversion"/>
  </si>
  <si>
    <t>대표자</t>
    <phoneticPr fontId="1" type="noConversion"/>
  </si>
  <si>
    <t>변호사</t>
    <phoneticPr fontId="1" type="noConversion"/>
  </si>
  <si>
    <t>비서</t>
    <phoneticPr fontId="1" type="noConversion"/>
  </si>
  <si>
    <t>포위 공격</t>
    <phoneticPr fontId="1" type="noConversion"/>
  </si>
  <si>
    <t>습격, 폭행</t>
    <phoneticPr fontId="1" type="noConversion"/>
  </si>
  <si>
    <t>공격성</t>
    <phoneticPr fontId="1" type="noConversion"/>
  </si>
  <si>
    <t>포위하다, 공격하다</t>
    <phoneticPr fontId="1" type="noConversion"/>
  </si>
  <si>
    <t>위반, 범죄</t>
    <phoneticPr fontId="1" type="noConversion"/>
  </si>
  <si>
    <t>비행, 범죄</t>
    <phoneticPr fontId="1" type="noConversion"/>
  </si>
  <si>
    <t>습격하다</t>
    <phoneticPr fontId="1" type="noConversion"/>
  </si>
  <si>
    <t>침입하다</t>
    <phoneticPr fontId="1" type="noConversion"/>
  </si>
  <si>
    <t>동의하다</t>
    <phoneticPr fontId="1" type="noConversion"/>
  </si>
  <si>
    <t>찬성</t>
    <phoneticPr fontId="1" type="noConversion"/>
  </si>
  <si>
    <t>의견을 달리하다</t>
    <phoneticPr fontId="1" type="noConversion"/>
  </si>
  <si>
    <t>인정하다</t>
    <phoneticPr fontId="1" type="noConversion"/>
  </si>
  <si>
    <t>불일치</t>
    <phoneticPr fontId="1" type="noConversion"/>
  </si>
  <si>
    <t>균형</t>
    <phoneticPr fontId="1" type="noConversion"/>
  </si>
  <si>
    <t>일치하다</t>
    <phoneticPr fontId="1" type="noConversion"/>
  </si>
  <si>
    <t>통역</t>
    <phoneticPr fontId="1" type="noConversion"/>
  </si>
  <si>
    <t>일치, 조화</t>
    <phoneticPr fontId="1" type="noConversion"/>
  </si>
  <si>
    <t>모임, 협정, 관습</t>
    <phoneticPr fontId="1" type="noConversion"/>
  </si>
  <si>
    <t>조약</t>
    <phoneticPr fontId="1" type="noConversion"/>
  </si>
  <si>
    <t>계약</t>
    <phoneticPr fontId="1" type="noConversion"/>
  </si>
  <si>
    <t>촘촘한, 조밀한</t>
    <phoneticPr fontId="1" type="noConversion"/>
  </si>
  <si>
    <t>대형</t>
    <phoneticPr fontId="1" type="noConversion"/>
  </si>
  <si>
    <t>존경할 만한</t>
    <phoneticPr fontId="1" type="noConversion"/>
  </si>
  <si>
    <t>존경, 경의</t>
    <phoneticPr fontId="1" type="noConversion"/>
  </si>
  <si>
    <t>경건</t>
    <phoneticPr fontId="1" type="noConversion"/>
  </si>
  <si>
    <t>경외감</t>
    <phoneticPr fontId="1" type="noConversion"/>
  </si>
  <si>
    <t>동맹</t>
    <phoneticPr fontId="1" type="noConversion"/>
  </si>
  <si>
    <t>결합하다, 밀착하다</t>
    <phoneticPr fontId="1" type="noConversion"/>
  </si>
  <si>
    <t>처리하다</t>
    <phoneticPr fontId="1" type="noConversion"/>
  </si>
  <si>
    <t>조작하다</t>
    <phoneticPr fontId="1" type="noConversion"/>
  </si>
  <si>
    <t>규정하다, 관리하다</t>
    <phoneticPr fontId="1" type="noConversion"/>
  </si>
  <si>
    <t>할당하다</t>
    <phoneticPr fontId="1" type="noConversion"/>
  </si>
  <si>
    <t>할당하다,  임명하다</t>
    <phoneticPr fontId="1" type="noConversion"/>
  </si>
  <si>
    <t>make a booking</t>
    <phoneticPr fontId="1" type="noConversion"/>
  </si>
  <si>
    <t>예약을 하다</t>
    <phoneticPr fontId="1" type="noConversion"/>
  </si>
  <si>
    <t>토익-문장</t>
    <phoneticPr fontId="1" type="noConversion"/>
  </si>
  <si>
    <t>토익-300제</t>
    <phoneticPr fontId="1" type="noConversion"/>
  </si>
  <si>
    <t>prohibit</t>
    <phoneticPr fontId="1" type="noConversion"/>
  </si>
  <si>
    <t>금지하다</t>
    <phoneticPr fontId="1" type="noConversion"/>
  </si>
  <si>
    <t>expedition</t>
    <phoneticPr fontId="1" type="noConversion"/>
  </si>
  <si>
    <t>원정, 여행</t>
    <phoneticPr fontId="1" type="noConversion"/>
  </si>
  <si>
    <t>allow for</t>
    <phoneticPr fontId="1" type="noConversion"/>
  </si>
  <si>
    <t>고려하다</t>
    <phoneticPr fontId="1" type="noConversion"/>
  </si>
  <si>
    <t>organizer</t>
    <phoneticPr fontId="1" type="noConversion"/>
  </si>
  <si>
    <t>주최자</t>
    <phoneticPr fontId="1" type="noConversion"/>
  </si>
  <si>
    <t>venue</t>
    <phoneticPr fontId="1" type="noConversion"/>
  </si>
  <si>
    <t>공연장</t>
    <phoneticPr fontId="1" type="noConversion"/>
  </si>
  <si>
    <t>feature</t>
    <phoneticPr fontId="1" type="noConversion"/>
  </si>
  <si>
    <t>특징</t>
    <phoneticPr fontId="1" type="noConversion"/>
  </si>
  <si>
    <t>customer loyalty</t>
    <phoneticPr fontId="1" type="noConversion"/>
  </si>
  <si>
    <t>고객 충성도</t>
    <phoneticPr fontId="1" type="noConversion"/>
  </si>
  <si>
    <t>be sure to do</t>
    <phoneticPr fontId="1" type="noConversion"/>
  </si>
  <si>
    <t>반드시 ~를 해야한다</t>
    <phoneticPr fontId="1" type="noConversion"/>
  </si>
  <si>
    <t>motivate</t>
    <phoneticPr fontId="1" type="noConversion"/>
  </si>
  <si>
    <t>동기를 부여하다</t>
    <phoneticPr fontId="1" type="noConversion"/>
  </si>
  <si>
    <t>crucial</t>
    <phoneticPr fontId="1" type="noConversion"/>
  </si>
  <si>
    <t>결정적인</t>
    <phoneticPr fontId="1" type="noConversion"/>
  </si>
  <si>
    <t>effective</t>
    <phoneticPr fontId="1" type="noConversion"/>
  </si>
  <si>
    <t>유능한, 인상적인</t>
    <phoneticPr fontId="1" type="noConversion"/>
  </si>
  <si>
    <t>doubt</t>
    <phoneticPr fontId="1" type="noConversion"/>
  </si>
  <si>
    <t>의심하다</t>
    <phoneticPr fontId="1" type="noConversion"/>
  </si>
  <si>
    <t>discontent</t>
    <phoneticPr fontId="1" type="noConversion"/>
  </si>
  <si>
    <t>불만, 불평</t>
    <phoneticPr fontId="1" type="noConversion"/>
  </si>
  <si>
    <t>mock</t>
    <phoneticPr fontId="1" type="noConversion"/>
  </si>
  <si>
    <t>모의의</t>
    <phoneticPr fontId="1" type="noConversion"/>
  </si>
  <si>
    <t>takeover</t>
    <phoneticPr fontId="1" type="noConversion"/>
  </si>
  <si>
    <t>인수</t>
    <phoneticPr fontId="1" type="noConversion"/>
  </si>
  <si>
    <t>involve</t>
    <phoneticPr fontId="1" type="noConversion"/>
  </si>
  <si>
    <t>참여하다, 수반하다</t>
    <phoneticPr fontId="1" type="noConversion"/>
  </si>
  <si>
    <t>length</t>
    <phoneticPr fontId="1" type="noConversion"/>
  </si>
  <si>
    <t>길이</t>
    <phoneticPr fontId="1" type="noConversion"/>
  </si>
  <si>
    <t>lengthy</t>
    <phoneticPr fontId="1" type="noConversion"/>
  </si>
  <si>
    <t>시간이 긴</t>
    <phoneticPr fontId="1" type="noConversion"/>
  </si>
  <si>
    <t>lengthen</t>
    <phoneticPr fontId="1" type="noConversion"/>
  </si>
  <si>
    <t>늘리다</t>
    <phoneticPr fontId="1" type="noConversion"/>
  </si>
  <si>
    <t>by any means</t>
    <phoneticPr fontId="1" type="noConversion"/>
  </si>
  <si>
    <t>무슨 일이 있어도</t>
    <phoneticPr fontId="1" type="noConversion"/>
  </si>
  <si>
    <t>extinguish</t>
    <phoneticPr fontId="1" type="noConversion"/>
  </si>
  <si>
    <t>불을 끄다</t>
    <phoneticPr fontId="1" type="noConversion"/>
  </si>
  <si>
    <t>blaze</t>
    <phoneticPr fontId="1" type="noConversion"/>
  </si>
  <si>
    <t>불</t>
    <phoneticPr fontId="1" type="noConversion"/>
  </si>
  <si>
    <r>
      <t xml:space="preserve">The teacher tried to be </t>
    </r>
    <r>
      <rPr>
        <b/>
        <sz val="11"/>
        <color theme="1"/>
        <rFont val="맑은 고딕"/>
        <family val="3"/>
        <charset val="129"/>
        <scheme val="minor"/>
      </rPr>
      <t>fair</t>
    </r>
    <r>
      <rPr>
        <sz val="11"/>
        <color theme="1"/>
        <rFont val="맑은 고딕"/>
        <family val="3"/>
        <charset val="129"/>
        <scheme val="minor"/>
      </rPr>
      <t xml:space="preserve"> when grading all the students' essays.</t>
    </r>
    <phoneticPr fontId="1" type="noConversion"/>
  </si>
  <si>
    <r>
      <t xml:space="preserve">Many citizens protested </t>
    </r>
    <r>
      <rPr>
        <b/>
        <sz val="11"/>
        <color theme="1"/>
        <rFont val="맑은 고딕"/>
        <family val="3"/>
        <charset val="129"/>
        <scheme val="minor"/>
      </rPr>
      <t>against</t>
    </r>
    <r>
      <rPr>
        <sz val="11"/>
        <color theme="1"/>
        <rFont val="맑은 고딕"/>
        <family val="3"/>
        <charset val="129"/>
        <scheme val="minor"/>
      </rPr>
      <t xml:space="preserve"> the new tax policy.</t>
    </r>
    <phoneticPr fontId="1" type="noConversion"/>
  </si>
  <si>
    <t>시위, 항의</t>
    <phoneticPr fontId="1" type="noConversion"/>
  </si>
  <si>
    <r>
      <t xml:space="preserve">Starting a business is </t>
    </r>
    <r>
      <rPr>
        <b/>
        <sz val="11"/>
        <color theme="1"/>
        <rFont val="맑은 고딕"/>
        <family val="3"/>
        <charset val="129"/>
        <scheme val="minor"/>
      </rPr>
      <t>tough</t>
    </r>
    <r>
      <rPr>
        <sz val="11"/>
        <color theme="1"/>
        <rFont val="맑은 고딕"/>
        <family val="3"/>
        <charset val="129"/>
        <scheme val="minor"/>
      </rPr>
      <t>, but the rewards can be great.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</si>
  <si>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brutal</t>
    </r>
    <r>
      <rPr>
        <sz val="11"/>
        <color theme="1"/>
        <rFont val="맑은 고딕"/>
        <family val="3"/>
        <charset val="129"/>
        <scheme val="minor"/>
      </rPr>
      <t xml:space="preserve"> winter storm left thousands without power.</t>
    </r>
    <phoneticPr fontId="1" type="noConversion"/>
  </si>
  <si>
    <r>
      <t xml:space="preserve">It is </t>
    </r>
    <r>
      <rPr>
        <b/>
        <sz val="11"/>
        <color theme="1"/>
        <rFont val="맑은 고딕"/>
        <family val="3"/>
        <charset val="129"/>
        <scheme val="minor"/>
      </rPr>
      <t>illegal</t>
    </r>
    <r>
      <rPr>
        <sz val="11"/>
        <color theme="1"/>
        <rFont val="맑은 고딕"/>
        <family val="3"/>
        <charset val="129"/>
        <scheme val="minor"/>
      </rPr>
      <t xml:space="preserve"> to park in front of a fire hydrant.</t>
    </r>
    <phoneticPr fontId="1" type="noConversion"/>
  </si>
  <si>
    <t>hydrant</t>
    <phoneticPr fontId="1" type="noConversion"/>
  </si>
  <si>
    <t>소화전, 급수전</t>
    <phoneticPr fontId="1" type="noConversion"/>
  </si>
  <si>
    <r>
      <t xml:space="preserve">Many engineering students find </t>
    </r>
    <r>
      <rPr>
        <b/>
        <sz val="11"/>
        <color theme="1"/>
        <rFont val="맑은 고딕"/>
        <family val="3"/>
        <charset val="129"/>
        <scheme val="minor"/>
      </rPr>
      <t>calculus</t>
    </r>
    <r>
      <rPr>
        <sz val="11"/>
        <color theme="1"/>
        <rFont val="맑은 고딕"/>
        <family val="3"/>
        <charset val="129"/>
        <scheme val="minor"/>
      </rPr>
      <t xml:space="preserve"> challenging at first.</t>
    </r>
    <phoneticPr fontId="1" type="noConversion"/>
  </si>
  <si>
    <r>
      <t xml:space="preserve">She reached into her </t>
    </r>
    <r>
      <rPr>
        <b/>
        <sz val="11"/>
        <color theme="1"/>
        <rFont val="맑은 고딕"/>
        <family val="3"/>
        <charset val="129"/>
        <scheme val="minor"/>
      </rPr>
      <t>purse</t>
    </r>
    <r>
      <rPr>
        <sz val="11"/>
        <color theme="1"/>
        <rFont val="맑은 고딕"/>
        <family val="3"/>
        <charset val="129"/>
        <scheme val="minor"/>
      </rPr>
      <t xml:space="preserve"> to find her keys.</t>
    </r>
    <phoneticPr fontId="1" type="noConversion"/>
  </si>
  <si>
    <r>
      <t xml:space="preserve">The company offers a </t>
    </r>
    <r>
      <rPr>
        <b/>
        <sz val="11"/>
        <color theme="1"/>
        <rFont val="맑은 고딕"/>
        <family val="3"/>
        <charset val="129"/>
        <scheme val="minor"/>
      </rPr>
      <t>broad</t>
    </r>
    <r>
      <rPr>
        <sz val="11"/>
        <color theme="1"/>
        <rFont val="맑은 고딕"/>
        <family val="3"/>
        <charset val="129"/>
        <scheme val="minor"/>
      </rPr>
      <t xml:space="preserve"> range of products and services.</t>
    </r>
    <phoneticPr fontId="1" type="noConversion"/>
  </si>
  <si>
    <r>
      <t xml:space="preserve">He was sentenced to five years in prison for </t>
    </r>
    <r>
      <rPr>
        <b/>
        <sz val="11"/>
        <color theme="1"/>
        <rFont val="맑은 고딕"/>
        <family val="3"/>
        <charset val="129"/>
        <scheme val="minor"/>
      </rPr>
      <t>fraud</t>
    </r>
    <r>
      <rPr>
        <sz val="11"/>
        <color theme="1"/>
        <rFont val="맑은 고딕"/>
        <family val="3"/>
        <charset val="129"/>
        <scheme val="minor"/>
      </rPr>
      <t>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</si>
  <si>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jury</t>
    </r>
    <r>
      <rPr>
        <sz val="11"/>
        <color theme="1"/>
        <rFont val="맑은 고딕"/>
        <family val="3"/>
        <charset val="129"/>
        <scheme val="minor"/>
      </rPr>
      <t xml:space="preserve"> found the defendant not guilty after a long trial.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</si>
  <si>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defendant</t>
    </r>
    <r>
      <rPr>
        <sz val="11"/>
        <color theme="1"/>
        <rFont val="맑은 고딕"/>
        <family val="3"/>
        <charset val="129"/>
        <scheme val="minor"/>
      </rPr>
      <t xml:space="preserve"> pleaded not guilty to all charges.</t>
    </r>
    <phoneticPr fontId="1" type="noConversion"/>
  </si>
  <si>
    <t>plead</t>
    <phoneticPr fontId="1" type="noConversion"/>
  </si>
  <si>
    <t>변호하다, 주장하다</t>
    <phoneticPr fontId="1" type="noConversion"/>
  </si>
  <si>
    <r>
      <t xml:space="preserve">The court </t>
    </r>
    <r>
      <rPr>
        <b/>
        <sz val="11"/>
        <color theme="1"/>
        <rFont val="맑은 고딕"/>
        <family val="3"/>
        <charset val="129"/>
        <scheme val="minor"/>
      </rPr>
      <t>convicted</t>
    </r>
    <r>
      <rPr>
        <sz val="11"/>
        <color theme="1"/>
        <rFont val="맑은 고딕"/>
        <family val="3"/>
        <charset val="129"/>
        <scheme val="minor"/>
      </rPr>
      <t xml:space="preserve"> him of theft based on the evidence.</t>
    </r>
    <phoneticPr fontId="1" type="noConversion"/>
  </si>
  <si>
    <r>
      <t xml:space="preserve">He served </t>
    </r>
    <r>
      <rPr>
        <b/>
        <sz val="11"/>
        <color theme="1"/>
        <rFont val="맑은 고딕"/>
        <family val="3"/>
        <charset val="129"/>
        <scheme val="minor"/>
      </rPr>
      <t>honorably</t>
    </r>
    <r>
      <rPr>
        <sz val="11"/>
        <color theme="1"/>
        <rFont val="맑은 고딕"/>
        <family val="3"/>
        <charset val="129"/>
        <scheme val="minor"/>
      </rPr>
      <t xml:space="preserve"> in the army for over a decade.</t>
    </r>
    <phoneticPr fontId="1" type="noConversion"/>
  </si>
  <si>
    <r>
      <t xml:space="preserve">She tied a </t>
    </r>
    <r>
      <rPr>
        <b/>
        <sz val="11"/>
        <color theme="1"/>
        <rFont val="맑은 고딕"/>
        <family val="3"/>
        <charset val="129"/>
        <scheme val="minor"/>
      </rPr>
      <t>knot</t>
    </r>
    <r>
      <rPr>
        <sz val="11"/>
        <color theme="1"/>
        <rFont val="맑은 고딕"/>
        <family val="3"/>
        <charset val="129"/>
        <scheme val="minor"/>
      </rPr>
      <t xml:space="preserve"> at the end of the rope to secure it.</t>
    </r>
    <phoneticPr fontId="1" type="noConversion"/>
  </si>
  <si>
    <r>
      <t xml:space="preserve">The program helps </t>
    </r>
    <r>
      <rPr>
        <b/>
        <sz val="11"/>
        <color theme="1"/>
        <rFont val="맑은 고딕"/>
        <family val="3"/>
        <charset val="129"/>
        <scheme val="minor"/>
      </rPr>
      <t>rehabilitate</t>
    </r>
    <r>
      <rPr>
        <sz val="11"/>
        <color theme="1"/>
        <rFont val="맑은 고딕"/>
        <family val="3"/>
        <charset val="129"/>
        <scheme val="minor"/>
      </rPr>
      <t xml:space="preserve"> former prisoners and reintegrate them into society.</t>
    </r>
    <phoneticPr fontId="1" type="noConversion"/>
  </si>
  <si>
    <t>former</t>
    <phoneticPr fontId="1" type="noConversion"/>
  </si>
  <si>
    <t>이전의</t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</si>
  <si>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vastness</t>
    </r>
    <r>
      <rPr>
        <sz val="11"/>
        <color theme="1"/>
        <rFont val="맑은 고딕"/>
        <family val="3"/>
        <charset val="129"/>
        <scheme val="minor"/>
      </rPr>
      <t xml:space="preserve"> of the desert stretched endlessly before them.</t>
    </r>
    <phoneticPr fontId="1" type="noConversion"/>
  </si>
  <si>
    <r>
      <t xml:space="preserve">The earthquake was a </t>
    </r>
    <r>
      <rPr>
        <b/>
        <sz val="11"/>
        <color theme="1"/>
        <rFont val="맑은 고딕"/>
        <family val="3"/>
        <charset val="129"/>
        <scheme val="minor"/>
      </rPr>
      <t>catastrophe</t>
    </r>
    <r>
      <rPr>
        <sz val="11"/>
        <color theme="1"/>
        <rFont val="맑은 고딕"/>
        <family val="3"/>
        <charset val="129"/>
        <scheme val="minor"/>
      </rPr>
      <t xml:space="preserve"> that destroyed entire neighborhoods.</t>
    </r>
    <phoneticPr fontId="1" type="noConversion"/>
  </si>
  <si>
    <r>
      <t xml:space="preserve">She showed remarkable courage in the face of </t>
    </r>
    <r>
      <rPr>
        <b/>
        <sz val="11"/>
        <color theme="1"/>
        <rFont val="맑은 고딕"/>
        <family val="3"/>
        <charset val="129"/>
        <scheme val="minor"/>
      </rPr>
      <t>adversity</t>
    </r>
    <r>
      <rPr>
        <sz val="11"/>
        <color theme="1"/>
        <rFont val="맑은 고딕"/>
        <family val="3"/>
        <charset val="129"/>
        <scheme val="minor"/>
      </rPr>
      <t>.</t>
    </r>
    <phoneticPr fontId="1" type="noConversion"/>
  </si>
  <si>
    <r>
      <t xml:space="preserve">The flood was a terrible </t>
    </r>
    <r>
      <rPr>
        <b/>
        <sz val="11"/>
        <color theme="1"/>
        <rFont val="맑은 고딕"/>
        <family val="3"/>
        <charset val="129"/>
        <scheme val="minor"/>
      </rPr>
      <t>calamity</t>
    </r>
    <r>
      <rPr>
        <sz val="11"/>
        <color theme="1"/>
        <rFont val="맑은 고딕"/>
        <family val="3"/>
        <charset val="129"/>
        <scheme val="minor"/>
      </rPr>
      <t xml:space="preserve"> for the small town.</t>
    </r>
    <phoneticPr fontId="1" type="noConversion"/>
  </si>
  <si>
    <r>
      <t xml:space="preserve">Losing his job was a great </t>
    </r>
    <r>
      <rPr>
        <b/>
        <sz val="11"/>
        <color theme="1"/>
        <rFont val="맑은 고딕"/>
        <family val="3"/>
        <charset val="129"/>
        <scheme val="minor"/>
      </rPr>
      <t>misfortune</t>
    </r>
    <r>
      <rPr>
        <sz val="11"/>
        <color theme="1"/>
        <rFont val="맑은 고딕"/>
        <family val="3"/>
        <charset val="129"/>
        <scheme val="minor"/>
      </rPr>
      <t>, but he recovered quickly.</t>
    </r>
    <phoneticPr fontId="1" type="noConversion"/>
  </si>
  <si>
    <r>
      <t xml:space="preserve">The witness </t>
    </r>
    <r>
      <rPr>
        <b/>
        <sz val="11"/>
        <color theme="1"/>
        <rFont val="맑은 고딕"/>
        <family val="3"/>
        <charset val="129"/>
        <scheme val="minor"/>
      </rPr>
      <t>accused</t>
    </r>
    <r>
      <rPr>
        <sz val="11"/>
        <color theme="1"/>
        <rFont val="맑은 고딕"/>
        <family val="3"/>
        <charset val="129"/>
        <scheme val="minor"/>
      </rPr>
      <t xml:space="preserve"> the man of stealing the car.</t>
    </r>
    <phoneticPr fontId="1" type="noConversion"/>
  </si>
  <si>
    <t>witness</t>
    <phoneticPr fontId="1" type="noConversion"/>
  </si>
  <si>
    <t>목격자</t>
    <phoneticPr fontId="1" type="noConversion"/>
  </si>
  <si>
    <r>
      <t xml:space="preserve">The government decided to </t>
    </r>
    <r>
      <rPr>
        <b/>
        <sz val="11"/>
        <color theme="1"/>
        <rFont val="맑은 고딕"/>
        <family val="3"/>
        <charset val="129"/>
        <scheme val="minor"/>
      </rPr>
      <t>prosecute</t>
    </r>
    <r>
      <rPr>
        <sz val="11"/>
        <color theme="1"/>
        <rFont val="맑은 고딕"/>
        <family val="3"/>
        <charset val="129"/>
        <scheme val="minor"/>
      </rPr>
      <t xml:space="preserve"> the company for environmental violations.</t>
    </r>
    <phoneticPr fontId="1" type="noConversion"/>
  </si>
  <si>
    <r>
      <t xml:space="preserve">She </t>
    </r>
    <r>
      <rPr>
        <b/>
        <sz val="11"/>
        <color theme="1"/>
        <rFont val="맑은 고딕"/>
        <family val="3"/>
        <charset val="129"/>
        <scheme val="minor"/>
      </rPr>
      <t>acknowledged</t>
    </r>
    <r>
      <rPr>
        <sz val="11"/>
        <color theme="1"/>
        <rFont val="맑은 고딕"/>
        <family val="3"/>
        <charset val="129"/>
        <scheme val="minor"/>
      </rPr>
      <t xml:space="preserve"> her mistake and promised to do better next time.</t>
    </r>
    <phoneticPr fontId="1" type="noConversion"/>
  </si>
  <si>
    <r>
      <t xml:space="preserve">He expressed his </t>
    </r>
    <r>
      <rPr>
        <b/>
        <sz val="11"/>
        <color theme="1"/>
        <rFont val="맑은 고딕"/>
        <family val="3"/>
        <charset val="129"/>
        <scheme val="minor"/>
      </rPr>
      <t>gratitude</t>
    </r>
    <r>
      <rPr>
        <sz val="11"/>
        <color theme="1"/>
        <rFont val="맑은 고딕"/>
        <family val="3"/>
        <charset val="129"/>
        <scheme val="minor"/>
      </rPr>
      <t xml:space="preserve"> to the team for their hard work.</t>
    </r>
    <phoneticPr fontId="1" type="noConversion"/>
  </si>
  <si>
    <r>
      <t xml:space="preserve">She </t>
    </r>
    <r>
      <rPr>
        <b/>
        <sz val="11"/>
        <color theme="1"/>
        <rFont val="맑은 고딕"/>
        <family val="3"/>
        <charset val="129"/>
        <scheme val="minor"/>
      </rPr>
      <t>admitted</t>
    </r>
    <r>
      <rPr>
        <sz val="11"/>
        <color theme="1"/>
        <rFont val="맑은 고딕"/>
        <family val="3"/>
        <charset val="129"/>
        <scheme val="minor"/>
      </rPr>
      <t xml:space="preserve"> that she had made a serious error in judgment.</t>
    </r>
    <phoneticPr fontId="1" type="noConversion"/>
  </si>
  <si>
    <r>
      <t xml:space="preserve">Everyone was invited to </t>
    </r>
    <r>
      <rPr>
        <b/>
        <sz val="11"/>
        <color theme="1"/>
        <rFont val="맑은 고딕"/>
        <family val="3"/>
        <charset val="129"/>
        <scheme val="minor"/>
      </rPr>
      <t>partake</t>
    </r>
    <r>
      <rPr>
        <sz val="11"/>
        <color theme="1"/>
        <rFont val="맑은 고딕"/>
        <family val="3"/>
        <charset val="129"/>
        <scheme val="minor"/>
      </rPr>
      <t xml:space="preserve"> in the holiday feast.</t>
    </r>
    <phoneticPr fontId="1" type="noConversion"/>
  </si>
  <si>
    <t>feast</t>
    <phoneticPr fontId="1" type="noConversion"/>
  </si>
  <si>
    <t>축하연</t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</si>
  <si>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induction</t>
    </r>
    <r>
      <rPr>
        <sz val="11"/>
        <color theme="1"/>
        <rFont val="맑은 고딕"/>
        <family val="3"/>
        <charset val="129"/>
        <scheme val="minor"/>
      </rPr>
      <t xml:space="preserve"> ceremony for new members will be held on Friday.</t>
    </r>
    <phoneticPr fontId="1" type="noConversion"/>
  </si>
  <si>
    <r>
      <t xml:space="preserve">He </t>
    </r>
    <r>
      <rPr>
        <b/>
        <sz val="11"/>
        <color theme="1"/>
        <rFont val="맑은 고딕"/>
        <family val="3"/>
        <charset val="129"/>
        <scheme val="minor"/>
      </rPr>
      <t>confessed</t>
    </r>
    <r>
      <rPr>
        <sz val="11"/>
        <color theme="1"/>
        <rFont val="맑은 고딕"/>
        <family val="3"/>
        <charset val="129"/>
        <scheme val="minor"/>
      </rPr>
      <t xml:space="preserve"> to breaking the window after being questioned.</t>
    </r>
    <phoneticPr fontId="1" type="noConversion"/>
  </si>
  <si>
    <r>
      <t xml:space="preserve">His brave </t>
    </r>
    <r>
      <rPr>
        <b/>
        <sz val="11"/>
        <color theme="1"/>
        <rFont val="맑은 고딕"/>
        <family val="3"/>
        <charset val="129"/>
        <scheme val="minor"/>
      </rPr>
      <t>deed</t>
    </r>
    <r>
      <rPr>
        <sz val="11"/>
        <color theme="1"/>
        <rFont val="맑은 고딕"/>
        <family val="3"/>
        <charset val="129"/>
        <scheme val="minor"/>
      </rPr>
      <t xml:space="preserve"> saved the lives of three children.</t>
    </r>
    <phoneticPr fontId="1" type="noConversion"/>
  </si>
  <si>
    <r>
      <t xml:space="preserve">Trade has been </t>
    </r>
    <r>
      <rPr>
        <b/>
        <sz val="11"/>
        <color theme="1"/>
        <rFont val="맑은 고딕"/>
        <family val="3"/>
        <charset val="129"/>
        <scheme val="minor"/>
      </rPr>
      <t>brisk</t>
    </r>
    <r>
      <rPr>
        <sz val="11"/>
        <color theme="1"/>
        <rFont val="맑은 고딕"/>
        <family val="3"/>
        <charset val="129"/>
        <scheme val="minor"/>
      </rPr>
      <t xml:space="preserve"> at the new market since it opened.</t>
    </r>
    <phoneticPr fontId="1" type="noConversion"/>
  </si>
  <si>
    <r>
      <t xml:space="preserve">She maintains a </t>
    </r>
    <r>
      <rPr>
        <b/>
        <sz val="11"/>
        <color theme="1"/>
        <rFont val="맑은 고딕"/>
        <family val="3"/>
        <charset val="129"/>
        <scheme val="minor"/>
      </rPr>
      <t>vigorous</t>
    </r>
    <r>
      <rPr>
        <sz val="11"/>
        <color theme="1"/>
        <rFont val="맑은 고딕"/>
        <family val="3"/>
        <charset val="129"/>
        <scheme val="minor"/>
      </rPr>
      <t xml:space="preserve"> exercise routine every morning.</t>
    </r>
    <phoneticPr fontId="1" type="noConversion"/>
  </si>
  <si>
    <r>
      <t xml:space="preserve">The </t>
    </r>
    <r>
      <rPr>
        <b/>
        <sz val="11"/>
        <color theme="1"/>
        <rFont val="맑은 고딕"/>
        <family val="3"/>
        <charset val="129"/>
        <scheme val="minor"/>
      </rPr>
      <t>strenuous</t>
    </r>
    <r>
      <rPr>
        <sz val="11"/>
        <color theme="1"/>
        <rFont val="맑은 고딕"/>
        <family val="3"/>
        <charset val="129"/>
        <scheme val="minor"/>
      </rPr>
      <t xml:space="preserve"> hike up the mountain left everyone exhausted.</t>
    </r>
    <phoneticPr fontId="1" type="noConversion"/>
  </si>
  <si>
    <r>
      <t xml:space="preserve">She has a </t>
    </r>
    <r>
      <rPr>
        <b/>
        <sz val="11"/>
        <color theme="1"/>
        <rFont val="맑은 고딕"/>
        <family val="3"/>
        <charset val="129"/>
        <scheme val="minor"/>
      </rPr>
      <t>keen</t>
    </r>
    <r>
      <rPr>
        <sz val="11"/>
        <color theme="1"/>
        <rFont val="맑은 고딕"/>
        <family val="3"/>
        <charset val="129"/>
        <scheme val="minor"/>
      </rPr>
      <t xml:space="preserve"> eye for detail and never misses a mistake.</t>
    </r>
    <phoneticPr fontId="1" type="noConversion"/>
  </si>
  <si>
    <r>
      <t xml:space="preserve">He felt an </t>
    </r>
    <r>
      <rPr>
        <b/>
        <sz val="11"/>
        <color theme="1"/>
        <rFont val="맑은 고딕"/>
        <family val="3"/>
        <charset val="129"/>
        <scheme val="minor"/>
      </rPr>
      <t>acute</t>
    </r>
    <r>
      <rPr>
        <sz val="11"/>
        <color theme="1"/>
        <rFont val="맑은 고딕"/>
        <family val="3"/>
        <charset val="129"/>
        <scheme val="minor"/>
      </rPr>
      <t xml:space="preserve"> pain in his chest and rushed to the hospital.</t>
    </r>
    <phoneticPr fontId="1" type="noConversion"/>
  </si>
  <si>
    <r>
      <t xml:space="preserve">Both sides had to </t>
    </r>
    <r>
      <rPr>
        <b/>
        <sz val="11"/>
        <color theme="1"/>
        <rFont val="맑은 고딕"/>
        <family val="3"/>
        <charset val="129"/>
        <scheme val="minor"/>
      </rPr>
      <t>compromise</t>
    </r>
    <r>
      <rPr>
        <sz val="11"/>
        <color theme="1"/>
        <rFont val="맑은 고딕"/>
        <family val="3"/>
        <charset val="129"/>
        <scheme val="minor"/>
      </rPr>
      <t xml:space="preserve"> to reach an agreement.</t>
    </r>
    <phoneticPr fontId="1" type="noConversion"/>
  </si>
  <si>
    <r>
      <t xml:space="preserve">A neutral third party was brought in to </t>
    </r>
    <r>
      <rPr>
        <b/>
        <sz val="11"/>
        <color theme="1"/>
        <rFont val="맑은 고딕"/>
        <family val="3"/>
        <charset val="129"/>
        <scheme val="minor"/>
      </rPr>
      <t>mediate</t>
    </r>
    <r>
      <rPr>
        <sz val="11"/>
        <color theme="1"/>
        <rFont val="맑은 고딕"/>
        <family val="3"/>
        <charset val="129"/>
        <scheme val="minor"/>
      </rPr>
      <t xml:space="preserve"> the conflict.</t>
    </r>
    <phoneticPr fontId="1" type="noConversion"/>
  </si>
  <si>
    <t>neutral</t>
    <phoneticPr fontId="1" type="noConversion"/>
  </si>
  <si>
    <t>중립의</t>
    <phoneticPr fontId="1" type="noConversion"/>
  </si>
  <si>
    <r>
      <t xml:space="preserve">The couple tried to </t>
    </r>
    <r>
      <rPr>
        <b/>
        <sz val="11"/>
        <color theme="1"/>
        <rFont val="맑은 고딕"/>
        <family val="3"/>
        <charset val="129"/>
        <scheme val="minor"/>
      </rPr>
      <t>reconcile</t>
    </r>
    <r>
      <rPr>
        <sz val="11"/>
        <color theme="1"/>
        <rFont val="맑은 고딕"/>
        <family val="3"/>
        <charset val="129"/>
        <scheme val="minor"/>
      </rPr>
      <t xml:space="preserve"> their differences through counseling.</t>
    </r>
    <phoneticPr fontId="1" type="noConversion"/>
  </si>
  <si>
    <t>상담, 변호사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</si>
</sst>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"/>
  </numFmts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rgb="FF0070C0"/>
      <name val="Arial"/>
      <family val="2"/>
    </font>
    <font>
      <b/>
      <sz val="11"/>
      <color rgb="FFC00000"/>
      <name val="Arial"/>
      <family val="2"/>
    </font>
    <font>
      <i/>
      <sz val="10"/>
      <color rgb="FFC0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b/>
      <sz val="10"/>
      <color rgb="FFC00000"/>
      <name val="Arial"/>
      <family val="2"/>
    </font>
    <font>
      <b/>
      <sz val="14"/>
      <name val="Arial"/>
      <family val="2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9E2F3"/>
      </patternFill>
    </fill>
    <fill>
      <patternFill patternType="solid">
        <fgColor rgb="FF4472C4"/>
      </patternFill>
    </fill>
  </fills>
  <borders count="11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>
        <color rgb="FF404040"/>
      </bottom>
      <diagonal/>
    </border>
    <border>
      <left style="thin">
        <color rgb="FFC0C0C0"/>
      </left>
      <right/>
      <top style="thin">
        <color rgb="FFC0C0C0"/>
      </top>
      <bottom style="medium">
        <color rgb="FF40404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/>
      <top/>
      <bottom/>
      <diagonal/>
    </border>
  </borders>
  <cellStyleXfs count="2">
    <xf numFmtId="0" fontId="0" fillId="0" borderId="0">
      <alignment vertical="center"/>
    </xf>
    <xf numFmtId="0" fontId="7" fillId="0" borderId="0"/>
  </cellStyleXfs>
  <cellXfs count="41">
    <xf numFmtId="0" fontId="0" fillId="0" borderId="0" xfId="0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>
      <alignment vertical="center"/>
    </xf>
    <xf numFmtId="14" fontId="3" fillId="2" borderId="2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0" xfId="1"/>
    <xf numFmtId="0" fontId="10" fillId="0" borderId="9" xfId="1" applyFont="1" applyBorder="1" applyAlignment="1">
      <alignment horizontal="left" vertical="center" wrapText="1"/>
    </xf>
    <xf numFmtId="0" fontId="11" fillId="0" borderId="9" xfId="1" applyFont="1" applyBorder="1" applyAlignment="1">
      <alignment horizontal="left" vertical="center" wrapText="1"/>
    </xf>
    <xf numFmtId="0" fontId="12" fillId="6" borderId="9" xfId="1" applyFont="1" applyFill="1" applyBorder="1" applyAlignment="1">
      <alignment horizontal="center" vertical="center" wrapText="1"/>
    </xf>
    <xf numFmtId="0" fontId="13" fillId="7" borderId="9" xfId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>
      <alignment vertical="center"/>
    </xf>
    <xf numFmtId="176" fontId="16" fillId="2" borderId="1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4" fillId="0" borderId="0" xfId="1" applyFont="1" applyAlignment="1">
      <alignment horizontal="center" vertical="center" wrapText="1"/>
    </xf>
    <xf numFmtId="0" fontId="7" fillId="0" borderId="0" xfId="1"/>
    <xf numFmtId="0" fontId="8" fillId="0" borderId="0" xfId="1" applyFont="1" applyAlignment="1">
      <alignment horizontal="center" vertical="center" wrapText="1"/>
    </xf>
    <xf numFmtId="0" fontId="15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 wrapText="1"/>
    </xf>
  </cellXfs>
  <cellStyles count="2">
    <cellStyle name="표준" xfId="0" builtinId="0"/>
    <cellStyle name="표준 2" xfId="1" xr:uid="{F3A53C19-9C31-46E6-9170-5F7D378985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AE8930-4749-42BD-80A8-1DBADF9AEF0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1f42e3c-4951-4b11-8dbb-ae90e6ec822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1ECB0-244C-4DDC-B179-D7714D9D7C85}">
  <dimension ref="A1:I1001"/>
  <sheetViews>
    <sheetView tabSelected="1" zoomScaleNormal="100" workbookViewId="0">
      <pane ySplit="1" topLeftCell="A592" activePane="bottomLeft" state="frozen"/>
      <selection pane="bottomLeft" activeCell="F599" sqref="F599"/>
    </sheetView>
  </sheetViews>
  <sheetFormatPr defaultRowHeight="17.399999999999999" x14ac:dyDescent="0.4"/>
  <cols>
    <col min="1" max="1" width="6.69921875" customWidth="1"/>
    <col min="2" max="2" width="20" style="5" customWidth="1"/>
    <col min="3" max="3" width="28.8984375" style="5" customWidth="1"/>
    <col min="4" max="4" width="68.69921875" customWidth="1"/>
    <col min="5" max="5" width="13.296875" customWidth="1"/>
    <col min="6" max="6" width="15.796875" customWidth="1"/>
    <col min="7" max="7" width="12.5" customWidth="1"/>
    <col min="9" max="9" width="9.796875" customWidth="1"/>
  </cols>
  <sheetData>
    <row r="1" spans="1:9" ht="18" thickBot="1" x14ac:dyDescent="0.45">
      <c r="A1" s="2" t="s">
        <v>2</v>
      </c>
      <c r="B1" s="2" t="s">
        <v>3</v>
      </c>
      <c r="C1" s="2" t="s">
        <v>0</v>
      </c>
      <c r="D1" s="2" t="s">
        <v>1</v>
      </c>
      <c r="E1" s="2" t="s">
        <v>4</v>
      </c>
      <c r="F1" s="1" t="s">
        <v>5</v>
      </c>
      <c r="G1" s="17" t="s">
        <v>820</v>
      </c>
      <c r="H1" s="22" t="s">
        <v>696</v>
      </c>
      <c r="I1" s="18" t="s">
        <v>819</v>
      </c>
    </row>
    <row r="2" spans="1:9" x14ac:dyDescent="0.4">
      <c r="A2" s="3">
        <v>1</v>
      </c>
      <c r="B2" s="3" t="s">
        <v>6</v>
      </c>
      <c r="C2" s="3" t="s">
        <v>60</v>
      </c>
      <c r="D2" s="4" t="s">
        <v>117</v>
      </c>
      <c r="E2" s="3"/>
      <c r="F2" s="8">
        <v>46098</v>
      </c>
      <c r="G2" s="19" t="str">
        <f>IF('단어 시험장'!E2="❌","❌","")</f>
        <v/>
      </c>
      <c r="H2" s="23" t="str" cm="1">
        <f t="array" ref="H2">IF(B2="","",IF(COUNTIF($B$2:$B$501,B2)&gt;1,"No."&amp;_xlfn.TEXTJOIN(", ",TRUE,IF(($B$2:$B$501=B2)*(ROW($B$2:$B$501)&lt;&gt;ROW(B2)),""&amp;$A$2:$A$501,"")),""))</f>
        <v/>
      </c>
      <c r="I2" s="10"/>
    </row>
    <row r="3" spans="1:9" x14ac:dyDescent="0.4">
      <c r="A3" s="3">
        <v>2</v>
      </c>
      <c r="B3" s="3" t="s">
        <v>7</v>
      </c>
      <c r="C3" s="3" t="s">
        <v>61</v>
      </c>
      <c r="D3" s="4" t="s">
        <v>118</v>
      </c>
      <c r="E3" s="3"/>
      <c r="F3" s="8">
        <v>46098</v>
      </c>
      <c r="G3" s="19" t="str">
        <f>IF('단어 시험장'!E3="❌","❌","")</f>
        <v/>
      </c>
      <c r="H3" s="23" t="str" cm="1">
        <f t="array" ref="H3">IF(B3="","",IF(COUNTIF($B$2:$B$501,B3)&gt;1,"No."&amp;_xlfn.TEXTJOIN(", ",TRUE,IF(($B$2:$B$501=B3)*(ROW($B$2:$B$501)&lt;&gt;ROW(B3)),""&amp;$A$2:$A$501,"")),""))</f>
        <v/>
      </c>
      <c r="I3" s="10"/>
    </row>
    <row r="4" spans="1:9" x14ac:dyDescent="0.4">
      <c r="A4" s="3">
        <v>3</v>
      </c>
      <c r="B4" s="3" t="s">
        <v>8</v>
      </c>
      <c r="C4" s="3" t="s">
        <v>62</v>
      </c>
      <c r="D4" s="4" t="s">
        <v>119</v>
      </c>
      <c r="E4" s="3"/>
      <c r="F4" s="8">
        <v>46098</v>
      </c>
      <c r="G4" s="19" t="str">
        <f>IF('단어 시험장'!E4="❌","❌","")</f>
        <v>❌</v>
      </c>
      <c r="H4" s="23" t="str" cm="1">
        <f t="array" ref="H4">IF(B4="","",IF(COUNTIF($B$2:$B$501,B4)&gt;1,"No."&amp;_xlfn.TEXTJOIN(", ",TRUE,IF(($B$2:$B$501=B4)*(ROW($B$2:$B$501)&lt;&gt;ROW(B4)),""&amp;$A$2:$A$501,"")),""))</f>
        <v/>
      </c>
      <c r="I4" s="10"/>
    </row>
    <row r="5" spans="1:9" x14ac:dyDescent="0.4">
      <c r="A5" s="3">
        <v>4</v>
      </c>
      <c r="B5" s="3" t="s">
        <v>9</v>
      </c>
      <c r="C5" s="3" t="s">
        <v>63</v>
      </c>
      <c r="D5" s="4" t="s">
        <v>120</v>
      </c>
      <c r="E5" s="3"/>
      <c r="F5" s="8">
        <v>46098</v>
      </c>
      <c r="G5" s="19" t="str">
        <f>IF('단어 시험장'!E5="❌","❌","")</f>
        <v/>
      </c>
      <c r="H5" s="23" t="str" cm="1">
        <f t="array" ref="H5">IF(B5="","",IF(COUNTIF($B$2:$B$501,B5)&gt;1,"No."&amp;_xlfn.TEXTJOIN(", ",TRUE,IF(($B$2:$B$501=B5)*(ROW($B$2:$B$501)&lt;&gt;ROW(B5)),""&amp;$A$2:$A$501,"")),""))</f>
        <v/>
      </c>
      <c r="I5" s="10"/>
    </row>
    <row r="6" spans="1:9" x14ac:dyDescent="0.4">
      <c r="A6" s="3">
        <v>5</v>
      </c>
      <c r="B6" s="3" t="s">
        <v>10</v>
      </c>
      <c r="C6" s="3" t="s">
        <v>64</v>
      </c>
      <c r="D6" s="4" t="s">
        <v>121</v>
      </c>
      <c r="E6" s="3"/>
      <c r="F6" s="8">
        <v>46098</v>
      </c>
      <c r="G6" s="19" t="str">
        <f>IF('단어 시험장'!E6="❌","❌","")</f>
        <v/>
      </c>
      <c r="H6" s="23" t="str" cm="1">
        <f t="array" ref="H6">IF(B6="","",IF(COUNTIF($B$2:$B$501,B6)&gt;1,"No."&amp;_xlfn.TEXTJOIN(", ",TRUE,IF(($B$2:$B$501=B6)*(ROW($B$2:$B$501)&lt;&gt;ROW(B6)),""&amp;$A$2:$A$501,"")),""))</f>
        <v/>
      </c>
      <c r="I6" s="10"/>
    </row>
    <row r="7" spans="1:9" x14ac:dyDescent="0.4">
      <c r="A7" s="3">
        <v>6</v>
      </c>
      <c r="B7" s="3" t="s">
        <v>11</v>
      </c>
      <c r="C7" s="3" t="s">
        <v>65</v>
      </c>
      <c r="D7" s="4" t="s">
        <v>122</v>
      </c>
      <c r="E7" s="3"/>
      <c r="F7" s="8">
        <v>46098</v>
      </c>
      <c r="G7" s="19" t="str">
        <f>IF('단어 시험장'!E7="❌","❌","")</f>
        <v/>
      </c>
      <c r="H7" s="23" t="str" cm="1">
        <f t="array" ref="H7">IF(B7="","",IF(COUNTIF($B$2:$B$501,B7)&gt;1,"No."&amp;_xlfn.TEXTJOIN(", ",TRUE,IF(($B$2:$B$501=B7)*(ROW($B$2:$B$501)&lt;&gt;ROW(B7)),""&amp;$A$2:$A$501,"")),""))</f>
        <v/>
      </c>
      <c r="I7" s="10"/>
    </row>
    <row r="8" spans="1:9" x14ac:dyDescent="0.4">
      <c r="A8" s="3">
        <v>7</v>
      </c>
      <c r="B8" s="3" t="s">
        <v>12</v>
      </c>
      <c r="C8" s="3" t="s">
        <v>66</v>
      </c>
      <c r="D8" s="4" t="s">
        <v>123</v>
      </c>
      <c r="E8" s="3"/>
      <c r="F8" s="8">
        <v>46098</v>
      </c>
      <c r="G8" s="19" t="str">
        <f>IF('단어 시험장'!E8="❌","❌","")</f>
        <v/>
      </c>
      <c r="H8" s="23" t="str" cm="1">
        <f t="array" ref="H8">IF(B8="","",IF(COUNTIF($B$2:$B$501,B8)&gt;1,"No."&amp;_xlfn.TEXTJOIN(", ",TRUE,IF(($B$2:$B$501=B8)*(ROW($B$2:$B$501)&lt;&gt;ROW(B8)),""&amp;$A$2:$A$501,"")),""))</f>
        <v>No.114</v>
      </c>
      <c r="I8" s="10"/>
    </row>
    <row r="9" spans="1:9" x14ac:dyDescent="0.4">
      <c r="A9" s="3">
        <v>8</v>
      </c>
      <c r="B9" s="3" t="s">
        <v>13</v>
      </c>
      <c r="C9" s="3" t="s">
        <v>72</v>
      </c>
      <c r="D9" s="4" t="s">
        <v>124</v>
      </c>
      <c r="E9" s="3"/>
      <c r="F9" s="8">
        <v>46098</v>
      </c>
      <c r="G9" s="19" t="str">
        <f>IF('단어 시험장'!E9="❌","❌","")</f>
        <v/>
      </c>
      <c r="H9" s="23" t="str" cm="1">
        <f t="array" ref="H9">IF(B9="","",IF(COUNTIF($B$2:$B$501,B9)&gt;1,"No."&amp;_xlfn.TEXTJOIN(", ",TRUE,IF(($B$2:$B$501=B9)*(ROW($B$2:$B$501)&lt;&gt;ROW(B9)),""&amp;$A$2:$A$501,"")),""))</f>
        <v/>
      </c>
      <c r="I9" s="10"/>
    </row>
    <row r="10" spans="1:9" x14ac:dyDescent="0.4">
      <c r="A10" s="3">
        <v>9</v>
      </c>
      <c r="B10" s="3" t="s">
        <v>14</v>
      </c>
      <c r="C10" s="3" t="s">
        <v>125</v>
      </c>
      <c r="D10" s="4" t="s">
        <v>126</v>
      </c>
      <c r="E10" s="3"/>
      <c r="F10" s="8">
        <v>46098</v>
      </c>
      <c r="G10" s="19" t="str">
        <f>IF('단어 시험장'!E10="❌","❌","")</f>
        <v/>
      </c>
      <c r="H10" s="23" t="str" cm="1">
        <f t="array" ref="H10">IF(B10="","",IF(COUNTIF($B$2:$B$501,B10)&gt;1,"No."&amp;_xlfn.TEXTJOIN(", ",TRUE,IF(($B$2:$B$501=B10)*(ROW($B$2:$B$501)&lt;&gt;ROW(B10)),""&amp;$A$2:$A$501,"")),""))</f>
        <v/>
      </c>
      <c r="I10" s="10"/>
    </row>
    <row r="11" spans="1:9" x14ac:dyDescent="0.4">
      <c r="A11" s="3">
        <v>10</v>
      </c>
      <c r="B11" s="3" t="s">
        <v>15</v>
      </c>
      <c r="C11" s="3" t="s">
        <v>73</v>
      </c>
      <c r="D11" s="4" t="s">
        <v>127</v>
      </c>
      <c r="E11" s="3"/>
      <c r="F11" s="8">
        <v>46098</v>
      </c>
      <c r="G11" s="19" t="str">
        <f>IF('단어 시험장'!E11="❌","❌","")</f>
        <v/>
      </c>
      <c r="H11" s="23" t="str" cm="1">
        <f t="array" ref="H11">IF(B11="","",IF(COUNTIF($B$2:$B$501,B11)&gt;1,"No."&amp;_xlfn.TEXTJOIN(", ",TRUE,IF(($B$2:$B$501=B11)*(ROW($B$2:$B$501)&lt;&gt;ROW(B11)),""&amp;$A$2:$A$501,"")),""))</f>
        <v/>
      </c>
      <c r="I11" s="10"/>
    </row>
    <row r="12" spans="1:9" x14ac:dyDescent="0.4">
      <c r="A12" s="3">
        <v>11</v>
      </c>
      <c r="B12" s="3" t="s">
        <v>16</v>
      </c>
      <c r="C12" s="3" t="s">
        <v>74</v>
      </c>
      <c r="D12" s="4" t="s">
        <v>128</v>
      </c>
      <c r="E12" s="3"/>
      <c r="F12" s="8">
        <v>46098</v>
      </c>
      <c r="G12" s="19" t="str">
        <f>IF('단어 시험장'!E12="❌","❌","")</f>
        <v/>
      </c>
      <c r="H12" s="23" t="str" cm="1">
        <f t="array" ref="H12">IF(B12="","",IF(COUNTIF($B$2:$B$501,B12)&gt;1,"No."&amp;_xlfn.TEXTJOIN(", ",TRUE,IF(($B$2:$B$501=B12)*(ROW($B$2:$B$501)&lt;&gt;ROW(B12)),""&amp;$A$2:$A$501,"")),""))</f>
        <v/>
      </c>
      <c r="I12" s="10"/>
    </row>
    <row r="13" spans="1:9" x14ac:dyDescent="0.4">
      <c r="A13" s="3">
        <v>12</v>
      </c>
      <c r="B13" s="3" t="s">
        <v>17</v>
      </c>
      <c r="C13" s="3" t="s">
        <v>75</v>
      </c>
      <c r="D13" s="4" t="s">
        <v>129</v>
      </c>
      <c r="E13" s="3"/>
      <c r="F13" s="8">
        <v>46098</v>
      </c>
      <c r="G13" s="19" t="str">
        <f>IF('단어 시험장'!E13="❌","❌","")</f>
        <v/>
      </c>
      <c r="H13" s="23" t="str" cm="1">
        <f t="array" ref="H13">IF(B13="","",IF(COUNTIF($B$2:$B$501,B13)&gt;1,"No."&amp;_xlfn.TEXTJOIN(", ",TRUE,IF(($B$2:$B$501=B13)*(ROW($B$2:$B$501)&lt;&gt;ROW(B13)),""&amp;$A$2:$A$501,"")),""))</f>
        <v/>
      </c>
      <c r="I13" s="10"/>
    </row>
    <row r="14" spans="1:9" x14ac:dyDescent="0.4">
      <c r="A14" s="3">
        <v>13</v>
      </c>
      <c r="B14" s="3" t="s">
        <v>18</v>
      </c>
      <c r="C14" s="3" t="s">
        <v>76</v>
      </c>
      <c r="D14" s="4" t="s">
        <v>130</v>
      </c>
      <c r="E14" s="3"/>
      <c r="F14" s="8">
        <v>46098</v>
      </c>
      <c r="G14" s="19" t="str">
        <f>IF('단어 시험장'!E14="❌","❌","")</f>
        <v/>
      </c>
      <c r="H14" s="23" t="str" cm="1">
        <f t="array" ref="H14">IF(B14="","",IF(COUNTIF($B$2:$B$501,B14)&gt;1,"No."&amp;_xlfn.TEXTJOIN(", ",TRUE,IF(($B$2:$B$501=B14)*(ROW($B$2:$B$501)&lt;&gt;ROW(B14)),""&amp;$A$2:$A$501,"")),""))</f>
        <v/>
      </c>
      <c r="I14" s="10"/>
    </row>
    <row r="15" spans="1:9" x14ac:dyDescent="0.4">
      <c r="A15" s="3">
        <v>14</v>
      </c>
      <c r="B15" s="3" t="s">
        <v>19</v>
      </c>
      <c r="C15" s="3" t="s">
        <v>77</v>
      </c>
      <c r="D15" s="4" t="s">
        <v>131</v>
      </c>
      <c r="E15" s="3"/>
      <c r="F15" s="8">
        <v>46098</v>
      </c>
      <c r="G15" s="19" t="str">
        <f>IF('단어 시험장'!E15="❌","❌","")</f>
        <v/>
      </c>
      <c r="H15" s="23" t="str" cm="1">
        <f t="array" ref="H15">IF(B15="","",IF(COUNTIF($B$2:$B$501,B15)&gt;1,"No."&amp;_xlfn.TEXTJOIN(", ",TRUE,IF(($B$2:$B$501=B15)*(ROW($B$2:$B$501)&lt;&gt;ROW(B15)),""&amp;$A$2:$A$501,"")),""))</f>
        <v/>
      </c>
      <c r="I15" s="10"/>
    </row>
    <row r="16" spans="1:9" x14ac:dyDescent="0.4">
      <c r="A16" s="3">
        <v>15</v>
      </c>
      <c r="B16" s="3" t="s">
        <v>20</v>
      </c>
      <c r="C16" s="3" t="s">
        <v>78</v>
      </c>
      <c r="D16" s="4" t="s">
        <v>132</v>
      </c>
      <c r="E16" s="3"/>
      <c r="F16" s="8">
        <v>46098</v>
      </c>
      <c r="G16" s="19" t="str">
        <f>IF('단어 시험장'!E16="❌","❌","")</f>
        <v/>
      </c>
      <c r="H16" s="23" t="str" cm="1">
        <f t="array" ref="H16">IF(B16="","",IF(COUNTIF($B$2:$B$501,B16)&gt;1,"No."&amp;_xlfn.TEXTJOIN(", ",TRUE,IF(($B$2:$B$501=B16)*(ROW($B$2:$B$501)&lt;&gt;ROW(B16)),""&amp;$A$2:$A$501,"")),""))</f>
        <v/>
      </c>
      <c r="I16" s="10"/>
    </row>
    <row r="17" spans="1:9" x14ac:dyDescent="0.4">
      <c r="A17" s="3">
        <v>16</v>
      </c>
      <c r="B17" s="3" t="s">
        <v>21</v>
      </c>
      <c r="C17" s="3" t="s">
        <v>79</v>
      </c>
      <c r="D17" s="4" t="s">
        <v>133</v>
      </c>
      <c r="E17" s="3"/>
      <c r="F17" s="8">
        <v>46098</v>
      </c>
      <c r="G17" s="19" t="str">
        <f>IF('단어 시험장'!E17="❌","❌","")</f>
        <v/>
      </c>
      <c r="H17" s="23" t="str" cm="1">
        <f t="array" ref="H17">IF(B17="","",IF(COUNTIF($B$2:$B$501,B17)&gt;1,"No."&amp;_xlfn.TEXTJOIN(", ",TRUE,IF(($B$2:$B$501=B17)*(ROW($B$2:$B$501)&lt;&gt;ROW(B17)),""&amp;$A$2:$A$501,"")),""))</f>
        <v/>
      </c>
      <c r="I17" s="10"/>
    </row>
    <row r="18" spans="1:9" x14ac:dyDescent="0.4">
      <c r="A18" s="3">
        <v>17</v>
      </c>
      <c r="B18" s="3" t="s">
        <v>22</v>
      </c>
      <c r="C18" s="3" t="s">
        <v>80</v>
      </c>
      <c r="D18" s="4" t="s">
        <v>134</v>
      </c>
      <c r="E18" s="3"/>
      <c r="F18" s="8">
        <v>46098</v>
      </c>
      <c r="G18" s="19" t="str">
        <f>IF('단어 시험장'!E18="❌","❌","")</f>
        <v/>
      </c>
      <c r="H18" s="23" t="str" cm="1">
        <f t="array" ref="H18">IF(B18="","",IF(COUNTIF($B$2:$B$501,B18)&gt;1,"No."&amp;_xlfn.TEXTJOIN(", ",TRUE,IF(($B$2:$B$501=B18)*(ROW($B$2:$B$501)&lt;&gt;ROW(B18)),""&amp;$A$2:$A$501,"")),""))</f>
        <v/>
      </c>
      <c r="I18" s="10"/>
    </row>
    <row r="19" spans="1:9" x14ac:dyDescent="0.4">
      <c r="A19" s="3">
        <v>18</v>
      </c>
      <c r="B19" s="3" t="s">
        <v>23</v>
      </c>
      <c r="C19" s="3" t="s">
        <v>81</v>
      </c>
      <c r="D19" s="4" t="s">
        <v>135</v>
      </c>
      <c r="E19" s="3"/>
      <c r="F19" s="8">
        <v>46098</v>
      </c>
      <c r="G19" s="19" t="str">
        <f>IF('단어 시험장'!E19="❌","❌","")</f>
        <v/>
      </c>
      <c r="H19" s="23" t="str" cm="1">
        <f t="array" ref="H19">IF(B19="","",IF(COUNTIF($B$2:$B$501,B19)&gt;1,"No."&amp;_xlfn.TEXTJOIN(", ",TRUE,IF(($B$2:$B$501=B19)*(ROW($B$2:$B$501)&lt;&gt;ROW(B19)),""&amp;$A$2:$A$501,"")),""))</f>
        <v/>
      </c>
      <c r="I19" s="10"/>
    </row>
    <row r="20" spans="1:9" x14ac:dyDescent="0.4">
      <c r="A20" s="3">
        <v>19</v>
      </c>
      <c r="B20" s="3" t="s">
        <v>24</v>
      </c>
      <c r="C20" s="3" t="s">
        <v>82</v>
      </c>
      <c r="D20" s="4" t="s">
        <v>136</v>
      </c>
      <c r="E20" s="3"/>
      <c r="F20" s="8">
        <v>46098</v>
      </c>
      <c r="G20" s="19" t="str">
        <f>IF('단어 시험장'!E20="❌","❌","")</f>
        <v/>
      </c>
      <c r="H20" s="23" t="str" cm="1">
        <f t="array" ref="H20">IF(B20="","",IF(COUNTIF($B$2:$B$501,B20)&gt;1,"No."&amp;_xlfn.TEXTJOIN(", ",TRUE,IF(($B$2:$B$501=B20)*(ROW($B$2:$B$501)&lt;&gt;ROW(B20)),""&amp;$A$2:$A$501,"")),""))</f>
        <v/>
      </c>
      <c r="I20" s="10"/>
    </row>
    <row r="21" spans="1:9" x14ac:dyDescent="0.4">
      <c r="A21" s="3">
        <v>20</v>
      </c>
      <c r="B21" s="3" t="s">
        <v>25</v>
      </c>
      <c r="C21" s="3" t="s">
        <v>83</v>
      </c>
      <c r="D21" s="4" t="s">
        <v>137</v>
      </c>
      <c r="E21" s="3"/>
      <c r="F21" s="8">
        <v>46098</v>
      </c>
      <c r="G21" s="19" t="str">
        <f>IF('단어 시험장'!E21="❌","❌","")</f>
        <v/>
      </c>
      <c r="H21" s="23" t="str" cm="1">
        <f t="array" ref="H21">IF(B21="","",IF(COUNTIF($B$2:$B$501,B21)&gt;1,"No."&amp;_xlfn.TEXTJOIN(", ",TRUE,IF(($B$2:$B$501=B21)*(ROW($B$2:$B$501)&lt;&gt;ROW(B21)),""&amp;$A$2:$A$501,"")),""))</f>
        <v/>
      </c>
      <c r="I21" s="10"/>
    </row>
    <row r="22" spans="1:9" x14ac:dyDescent="0.4">
      <c r="A22" s="3">
        <v>21</v>
      </c>
      <c r="B22" s="3" t="s">
        <v>26</v>
      </c>
      <c r="C22" s="3" t="s">
        <v>84</v>
      </c>
      <c r="D22" s="4" t="s">
        <v>138</v>
      </c>
      <c r="E22" s="3"/>
      <c r="F22" s="8">
        <v>46098</v>
      </c>
      <c r="G22" s="19" t="str">
        <f>IF('단어 시험장'!E22="❌","❌","")</f>
        <v/>
      </c>
      <c r="H22" s="23" t="str" cm="1">
        <f t="array" ref="H22">IF(B22="","",IF(COUNTIF($B$2:$B$501,B22)&gt;1,"No."&amp;_xlfn.TEXTJOIN(", ",TRUE,IF(($B$2:$B$501=B22)*(ROW($B$2:$B$501)&lt;&gt;ROW(B22)),""&amp;$A$2:$A$501,"")),""))</f>
        <v/>
      </c>
      <c r="I22" s="10"/>
    </row>
    <row r="23" spans="1:9" x14ac:dyDescent="0.4">
      <c r="A23" s="3">
        <v>22</v>
      </c>
      <c r="B23" s="3" t="s">
        <v>27</v>
      </c>
      <c r="C23" s="3" t="s">
        <v>85</v>
      </c>
      <c r="D23" s="4" t="s">
        <v>139</v>
      </c>
      <c r="E23" s="3"/>
      <c r="F23" s="8">
        <v>46098</v>
      </c>
      <c r="G23" s="19" t="str">
        <f>IF('단어 시험장'!E23="❌","❌","")</f>
        <v/>
      </c>
      <c r="H23" s="23" t="str" cm="1">
        <f t="array" ref="H23">IF(B23="","",IF(COUNTIF($B$2:$B$501,B23)&gt;1,"No."&amp;_xlfn.TEXTJOIN(", ",TRUE,IF(($B$2:$B$501=B23)*(ROW($B$2:$B$501)&lt;&gt;ROW(B23)),""&amp;$A$2:$A$501,"")),""))</f>
        <v/>
      </c>
      <c r="I23" s="10"/>
    </row>
    <row r="24" spans="1:9" x14ac:dyDescent="0.4">
      <c r="A24" s="3">
        <v>23</v>
      </c>
      <c r="B24" s="3" t="s">
        <v>28</v>
      </c>
      <c r="C24" s="3" t="s">
        <v>86</v>
      </c>
      <c r="D24" s="4" t="s">
        <v>140</v>
      </c>
      <c r="E24" s="3"/>
      <c r="F24" s="8">
        <v>46098</v>
      </c>
      <c r="G24" s="19" t="str">
        <f>IF('단어 시험장'!E24="❌","❌","")</f>
        <v/>
      </c>
      <c r="H24" s="23" t="str" cm="1">
        <f t="array" ref="H24">IF(B24="","",IF(COUNTIF($B$2:$B$501,B24)&gt;1,"No."&amp;_xlfn.TEXTJOIN(", ",TRUE,IF(($B$2:$B$501=B24)*(ROW($B$2:$B$501)&lt;&gt;ROW(B24)),""&amp;$A$2:$A$501,"")),""))</f>
        <v/>
      </c>
      <c r="I24" s="10"/>
    </row>
    <row r="25" spans="1:9" x14ac:dyDescent="0.4">
      <c r="A25" s="3">
        <v>24</v>
      </c>
      <c r="B25" s="3" t="s">
        <v>29</v>
      </c>
      <c r="C25" s="3" t="s">
        <v>87</v>
      </c>
      <c r="D25" s="4" t="s">
        <v>141</v>
      </c>
      <c r="E25" s="3"/>
      <c r="F25" s="8">
        <v>46098</v>
      </c>
      <c r="G25" s="19" t="str">
        <f>IF('단어 시험장'!E25="❌","❌","")</f>
        <v/>
      </c>
      <c r="H25" s="23" t="str" cm="1">
        <f t="array" ref="H25">IF(B25="","",IF(COUNTIF($B$2:$B$501,B25)&gt;1,"No."&amp;_xlfn.TEXTJOIN(", ",TRUE,IF(($B$2:$B$501=B25)*(ROW($B$2:$B$501)&lt;&gt;ROW(B25)),""&amp;$A$2:$A$501,"")),""))</f>
        <v/>
      </c>
      <c r="I25" s="10"/>
    </row>
    <row r="26" spans="1:9" x14ac:dyDescent="0.4">
      <c r="A26" s="3">
        <v>25</v>
      </c>
      <c r="B26" s="3" t="s">
        <v>30</v>
      </c>
      <c r="C26" s="3" t="s">
        <v>88</v>
      </c>
      <c r="D26" s="4" t="s">
        <v>142</v>
      </c>
      <c r="E26" s="3"/>
      <c r="F26" s="8">
        <v>46098</v>
      </c>
      <c r="G26" s="19" t="str">
        <f>IF('단어 시험장'!E26="❌","❌","")</f>
        <v/>
      </c>
      <c r="H26" s="23" t="str" cm="1">
        <f t="array" ref="H26">IF(B26="","",IF(COUNTIF($B$2:$B$501,B26)&gt;1,"No."&amp;_xlfn.TEXTJOIN(", ",TRUE,IF(($B$2:$B$501=B26)*(ROW($B$2:$B$501)&lt;&gt;ROW(B26)),""&amp;$A$2:$A$501,"")),""))</f>
        <v/>
      </c>
      <c r="I26" s="10"/>
    </row>
    <row r="27" spans="1:9" x14ac:dyDescent="0.4">
      <c r="A27" s="3">
        <v>26</v>
      </c>
      <c r="B27" s="3" t="s">
        <v>31</v>
      </c>
      <c r="C27" s="3" t="s">
        <v>89</v>
      </c>
      <c r="D27" s="4" t="s">
        <v>143</v>
      </c>
      <c r="E27" s="3"/>
      <c r="F27" s="8">
        <v>46098</v>
      </c>
      <c r="G27" s="19" t="str">
        <f>IF('단어 시험장'!E27="❌","❌","")</f>
        <v/>
      </c>
      <c r="H27" s="23" t="str" cm="1">
        <f t="array" ref="H27">IF(B27="","",IF(COUNTIF($B$2:$B$501,B27)&gt;1,"No."&amp;_xlfn.TEXTJOIN(", ",TRUE,IF(($B$2:$B$501=B27)*(ROW($B$2:$B$501)&lt;&gt;ROW(B27)),""&amp;$A$2:$A$501,"")),""))</f>
        <v/>
      </c>
      <c r="I27" s="10"/>
    </row>
    <row r="28" spans="1:9" x14ac:dyDescent="0.4">
      <c r="A28" s="3">
        <v>27</v>
      </c>
      <c r="B28" s="3" t="s">
        <v>32</v>
      </c>
      <c r="C28" s="3" t="s">
        <v>90</v>
      </c>
      <c r="D28" s="4" t="s">
        <v>144</v>
      </c>
      <c r="E28" s="3"/>
      <c r="F28" s="8">
        <v>46098</v>
      </c>
      <c r="G28" s="19" t="str">
        <f>IF('단어 시험장'!E28="❌","❌","")</f>
        <v/>
      </c>
      <c r="H28" s="23" t="str" cm="1">
        <f t="array" ref="H28">IF(B28="","",IF(COUNTIF($B$2:$B$501,B28)&gt;1,"No."&amp;_xlfn.TEXTJOIN(", ",TRUE,IF(($B$2:$B$501=B28)*(ROW($B$2:$B$501)&lt;&gt;ROW(B28)),""&amp;$A$2:$A$501,"")),""))</f>
        <v/>
      </c>
      <c r="I28" s="10"/>
    </row>
    <row r="29" spans="1:9" x14ac:dyDescent="0.4">
      <c r="A29" s="3">
        <v>28</v>
      </c>
      <c r="B29" s="3" t="s">
        <v>33</v>
      </c>
      <c r="C29" s="3" t="s">
        <v>91</v>
      </c>
      <c r="D29" s="4" t="s">
        <v>145</v>
      </c>
      <c r="E29" s="3"/>
      <c r="F29" s="8">
        <v>46098</v>
      </c>
      <c r="G29" s="19" t="str">
        <f>IF('단어 시험장'!E29="❌","❌","")</f>
        <v/>
      </c>
      <c r="H29" s="23" t="str" cm="1">
        <f t="array" ref="H29">IF(B29="","",IF(COUNTIF($B$2:$B$501,B29)&gt;1,"No."&amp;_xlfn.TEXTJOIN(", ",TRUE,IF(($B$2:$B$501=B29)*(ROW($B$2:$B$501)&lt;&gt;ROW(B29)),""&amp;$A$2:$A$501,"")),""))</f>
        <v/>
      </c>
      <c r="I29" s="10"/>
    </row>
    <row r="30" spans="1:9" x14ac:dyDescent="0.4">
      <c r="A30" s="3">
        <v>29</v>
      </c>
      <c r="B30" s="3" t="s">
        <v>34</v>
      </c>
      <c r="C30" s="3" t="s">
        <v>92</v>
      </c>
      <c r="D30" s="4" t="s">
        <v>146</v>
      </c>
      <c r="E30" s="3"/>
      <c r="F30" s="8">
        <v>46098</v>
      </c>
      <c r="G30" s="19" t="str">
        <f>IF('단어 시험장'!E30="❌","❌","")</f>
        <v/>
      </c>
      <c r="H30" s="23" t="str" cm="1">
        <f t="array" ref="H30">IF(B30="","",IF(COUNTIF($B$2:$B$501,B30)&gt;1,"No."&amp;_xlfn.TEXTJOIN(", ",TRUE,IF(($B$2:$B$501=B30)*(ROW($B$2:$B$501)&lt;&gt;ROW(B30)),""&amp;$A$2:$A$501,"")),""))</f>
        <v/>
      </c>
      <c r="I30" s="10"/>
    </row>
    <row r="31" spans="1:9" x14ac:dyDescent="0.4">
      <c r="A31" s="6">
        <v>30</v>
      </c>
      <c r="B31" s="6" t="s">
        <v>35</v>
      </c>
      <c r="C31" s="6" t="s">
        <v>93</v>
      </c>
      <c r="D31" s="7" t="s">
        <v>147</v>
      </c>
      <c r="E31" s="6"/>
      <c r="F31" s="8">
        <v>46098</v>
      </c>
      <c r="G31" s="19" t="str">
        <f>IF('단어 시험장'!E31="❌","❌","")</f>
        <v/>
      </c>
      <c r="H31" s="23" t="str" cm="1">
        <f t="array" ref="H31">IF(B31="","",IF(COUNTIF($B$2:$B$501,B31)&gt;1,"No."&amp;_xlfn.TEXTJOIN(", ",TRUE,IF(($B$2:$B$501=B31)*(ROW($B$2:$B$501)&lt;&gt;ROW(B31)),""&amp;$A$2:$A$501,"")),""))</f>
        <v/>
      </c>
      <c r="I31" s="10"/>
    </row>
    <row r="32" spans="1:9" x14ac:dyDescent="0.4">
      <c r="A32" s="3">
        <v>31</v>
      </c>
      <c r="B32" s="3" t="s">
        <v>36</v>
      </c>
      <c r="C32" s="3" t="s">
        <v>94</v>
      </c>
      <c r="D32" s="4" t="s">
        <v>148</v>
      </c>
      <c r="E32" s="3"/>
      <c r="F32" s="8">
        <v>46098</v>
      </c>
      <c r="G32" s="19" t="str">
        <f>IF('단어 시험장'!E32="❌","❌","")</f>
        <v/>
      </c>
      <c r="H32" s="23" t="str" cm="1">
        <f t="array" ref="H32">IF(B32="","",IF(COUNTIF($B$2:$B$501,B32)&gt;1,"No."&amp;_xlfn.TEXTJOIN(", ",TRUE,IF(($B$2:$B$501=B32)*(ROW($B$2:$B$501)&lt;&gt;ROW(B32)),""&amp;$A$2:$A$501,"")),""))</f>
        <v/>
      </c>
      <c r="I32" s="10"/>
    </row>
    <row r="33" spans="1:9" x14ac:dyDescent="0.4">
      <c r="A33" s="3">
        <v>32</v>
      </c>
      <c r="B33" s="3" t="s">
        <v>37</v>
      </c>
      <c r="C33" s="3" t="s">
        <v>95</v>
      </c>
      <c r="D33" s="4" t="s">
        <v>149</v>
      </c>
      <c r="E33" s="3"/>
      <c r="F33" s="8">
        <v>46098</v>
      </c>
      <c r="G33" s="19" t="str">
        <f>IF('단어 시험장'!E33="❌","❌","")</f>
        <v/>
      </c>
      <c r="H33" s="23" t="str" cm="1">
        <f t="array" ref="H33">IF(B33="","",IF(COUNTIF($B$2:$B$501,B33)&gt;1,"No."&amp;_xlfn.TEXTJOIN(", ",TRUE,IF(($B$2:$B$501=B33)*(ROW($B$2:$B$501)&lt;&gt;ROW(B33)),""&amp;$A$2:$A$501,"")),""))</f>
        <v/>
      </c>
      <c r="I33" s="10"/>
    </row>
    <row r="34" spans="1:9" x14ac:dyDescent="0.4">
      <c r="A34" s="3">
        <v>33</v>
      </c>
      <c r="B34" s="3" t="s">
        <v>38</v>
      </c>
      <c r="C34" s="3" t="s">
        <v>96</v>
      </c>
      <c r="D34" s="4" t="s">
        <v>150</v>
      </c>
      <c r="E34" s="3"/>
      <c r="F34" s="8">
        <v>46098</v>
      </c>
      <c r="G34" s="19" t="str">
        <f>IF('단어 시험장'!E34="❌","❌","")</f>
        <v/>
      </c>
      <c r="H34" s="23" t="str" cm="1">
        <f t="array" ref="H34">IF(B34="","",IF(COUNTIF($B$2:$B$501,B34)&gt;1,"No."&amp;_xlfn.TEXTJOIN(", ",TRUE,IF(($B$2:$B$501=B34)*(ROW($B$2:$B$501)&lt;&gt;ROW(B34)),""&amp;$A$2:$A$501,"")),""))</f>
        <v/>
      </c>
      <c r="I34" s="10"/>
    </row>
    <row r="35" spans="1:9" x14ac:dyDescent="0.4">
      <c r="A35" s="3">
        <v>34</v>
      </c>
      <c r="B35" s="3" t="s">
        <v>39</v>
      </c>
      <c r="C35" s="3" t="s">
        <v>97</v>
      </c>
      <c r="D35" s="4" t="s">
        <v>151</v>
      </c>
      <c r="E35" s="3"/>
      <c r="F35" s="8">
        <v>46098</v>
      </c>
      <c r="G35" s="19" t="str">
        <f>IF('단어 시험장'!E35="❌","❌","")</f>
        <v/>
      </c>
      <c r="H35" s="23" t="str" cm="1">
        <f t="array" ref="H35">IF(B35="","",IF(COUNTIF($B$2:$B$501,B35)&gt;1,"No."&amp;_xlfn.TEXTJOIN(", ",TRUE,IF(($B$2:$B$501=B35)*(ROW($B$2:$B$501)&lt;&gt;ROW(B35)),""&amp;$A$2:$A$501,"")),""))</f>
        <v/>
      </c>
      <c r="I35" s="10"/>
    </row>
    <row r="36" spans="1:9" x14ac:dyDescent="0.4">
      <c r="A36" s="3">
        <v>35</v>
      </c>
      <c r="B36" s="3" t="s">
        <v>40</v>
      </c>
      <c r="C36" s="3" t="s">
        <v>98</v>
      </c>
      <c r="D36" s="4" t="s">
        <v>152</v>
      </c>
      <c r="E36" s="3"/>
      <c r="F36" s="8">
        <v>46098</v>
      </c>
      <c r="G36" s="19" t="str">
        <f>IF('단어 시험장'!E36="❌","❌","")</f>
        <v/>
      </c>
      <c r="H36" s="23" t="str" cm="1">
        <f t="array" ref="H36">IF(B36="","",IF(COUNTIF($B$2:$B$501,B36)&gt;1,"No."&amp;_xlfn.TEXTJOIN(", ",TRUE,IF(($B$2:$B$501=B36)*(ROW($B$2:$B$501)&lt;&gt;ROW(B36)),""&amp;$A$2:$A$501,"")),""))</f>
        <v/>
      </c>
      <c r="I36" s="10"/>
    </row>
    <row r="37" spans="1:9" x14ac:dyDescent="0.4">
      <c r="A37" s="3">
        <v>36</v>
      </c>
      <c r="B37" s="3" t="s">
        <v>41</v>
      </c>
      <c r="C37" s="3" t="s">
        <v>99</v>
      </c>
      <c r="D37" s="4" t="s">
        <v>153</v>
      </c>
      <c r="E37" s="3"/>
      <c r="F37" s="8">
        <v>46098</v>
      </c>
      <c r="G37" s="19" t="str">
        <f>IF('단어 시험장'!E37="❌","❌","")</f>
        <v/>
      </c>
      <c r="H37" s="23" t="str" cm="1">
        <f t="array" ref="H37">IF(B37="","",IF(COUNTIF($B$2:$B$501,B37)&gt;1,"No."&amp;_xlfn.TEXTJOIN(", ",TRUE,IF(($B$2:$B$501=B37)*(ROW($B$2:$B$501)&lt;&gt;ROW(B37)),""&amp;$A$2:$A$501,"")),""))</f>
        <v/>
      </c>
      <c r="I37" s="10"/>
    </row>
    <row r="38" spans="1:9" x14ac:dyDescent="0.4">
      <c r="A38" s="3">
        <v>37</v>
      </c>
      <c r="B38" s="3" t="s">
        <v>42</v>
      </c>
      <c r="C38" s="3" t="s">
        <v>100</v>
      </c>
      <c r="D38" s="4" t="s">
        <v>154</v>
      </c>
      <c r="E38" s="3"/>
      <c r="F38" s="8">
        <v>46098</v>
      </c>
      <c r="G38" s="19" t="str">
        <f>IF('단어 시험장'!E38="❌","❌","")</f>
        <v/>
      </c>
      <c r="H38" s="23" t="str" cm="1">
        <f t="array" ref="H38">IF(B38="","",IF(COUNTIF($B$2:$B$501,B38)&gt;1,"No."&amp;_xlfn.TEXTJOIN(", ",TRUE,IF(($B$2:$B$501=B38)*(ROW($B$2:$B$501)&lt;&gt;ROW(B38)),""&amp;$A$2:$A$501,"")),""))</f>
        <v/>
      </c>
      <c r="I38" s="10"/>
    </row>
    <row r="39" spans="1:9" x14ac:dyDescent="0.4">
      <c r="A39" s="3">
        <v>38</v>
      </c>
      <c r="B39" s="3" t="s">
        <v>43</v>
      </c>
      <c r="C39" s="3" t="s">
        <v>101</v>
      </c>
      <c r="D39" s="4" t="s">
        <v>155</v>
      </c>
      <c r="E39" s="3"/>
      <c r="F39" s="8">
        <v>46098</v>
      </c>
      <c r="G39" s="19" t="str">
        <f>IF('단어 시험장'!E39="❌","❌","")</f>
        <v/>
      </c>
      <c r="H39" s="23" t="str" cm="1">
        <f t="array" ref="H39">IF(B39="","",IF(COUNTIF($B$2:$B$501,B39)&gt;1,"No."&amp;_xlfn.TEXTJOIN(", ",TRUE,IF(($B$2:$B$501=B39)*(ROW($B$2:$B$501)&lt;&gt;ROW(B39)),""&amp;$A$2:$A$501,"")),""))</f>
        <v/>
      </c>
      <c r="I39" s="10"/>
    </row>
    <row r="40" spans="1:9" x14ac:dyDescent="0.4">
      <c r="A40" s="3">
        <v>39</v>
      </c>
      <c r="B40" s="3" t="s">
        <v>44</v>
      </c>
      <c r="C40" s="3" t="s">
        <v>102</v>
      </c>
      <c r="D40" s="4" t="s">
        <v>156</v>
      </c>
      <c r="E40" s="3"/>
      <c r="F40" s="8">
        <v>46098</v>
      </c>
      <c r="G40" s="19" t="str">
        <f>IF('단어 시험장'!E40="❌","❌","")</f>
        <v/>
      </c>
      <c r="H40" s="23" t="str" cm="1">
        <f t="array" ref="H40">IF(B40="","",IF(COUNTIF($B$2:$B$501,B40)&gt;1,"No."&amp;_xlfn.TEXTJOIN(", ",TRUE,IF(($B$2:$B$501=B40)*(ROW($B$2:$B$501)&lt;&gt;ROW(B40)),""&amp;$A$2:$A$501,"")),""))</f>
        <v/>
      </c>
      <c r="I40" s="10"/>
    </row>
    <row r="41" spans="1:9" x14ac:dyDescent="0.4">
      <c r="A41" s="3">
        <v>40</v>
      </c>
      <c r="B41" s="3" t="s">
        <v>45</v>
      </c>
      <c r="C41" s="3" t="s">
        <v>79</v>
      </c>
      <c r="D41" s="4" t="s">
        <v>157</v>
      </c>
      <c r="E41" s="3"/>
      <c r="F41" s="8">
        <v>46098</v>
      </c>
      <c r="G41" s="19" t="str">
        <f>IF('단어 시험장'!E41="❌","❌","")</f>
        <v/>
      </c>
      <c r="H41" s="23" t="str" cm="1">
        <f t="array" ref="H41">IF(B41="","",IF(COUNTIF($B$2:$B$501,B41)&gt;1,"No."&amp;_xlfn.TEXTJOIN(", ",TRUE,IF(($B$2:$B$501=B41)*(ROW($B$2:$B$501)&lt;&gt;ROW(B41)),""&amp;$A$2:$A$501,"")),""))</f>
        <v/>
      </c>
      <c r="I41" s="10"/>
    </row>
    <row r="42" spans="1:9" x14ac:dyDescent="0.4">
      <c r="A42" s="3">
        <v>41</v>
      </c>
      <c r="B42" s="3" t="s">
        <v>46</v>
      </c>
      <c r="C42" s="3" t="s">
        <v>103</v>
      </c>
      <c r="D42" s="4" t="s">
        <v>158</v>
      </c>
      <c r="E42" s="3"/>
      <c r="F42" s="8">
        <v>46098</v>
      </c>
      <c r="G42" s="19" t="str">
        <f>IF('단어 시험장'!E42="❌","❌","")</f>
        <v/>
      </c>
      <c r="H42" s="23" t="str" cm="1">
        <f t="array" ref="H42">IF(B42="","",IF(COUNTIF($B$2:$B$501,B42)&gt;1,"No."&amp;_xlfn.TEXTJOIN(", ",TRUE,IF(($B$2:$B$501=B42)*(ROW($B$2:$B$501)&lt;&gt;ROW(B42)),""&amp;$A$2:$A$501,"")),""))</f>
        <v/>
      </c>
      <c r="I42" s="10"/>
    </row>
    <row r="43" spans="1:9" x14ac:dyDescent="0.4">
      <c r="A43" s="3">
        <v>42</v>
      </c>
      <c r="B43" s="3" t="s">
        <v>47</v>
      </c>
      <c r="C43" s="3" t="s">
        <v>104</v>
      </c>
      <c r="D43" s="4" t="s">
        <v>159</v>
      </c>
      <c r="E43" s="3"/>
      <c r="F43" s="8">
        <v>46098</v>
      </c>
      <c r="G43" s="19" t="str">
        <f>IF('단어 시험장'!E43="❌","❌","")</f>
        <v/>
      </c>
      <c r="H43" s="23" t="str" cm="1">
        <f t="array" ref="H43">IF(B43="","",IF(COUNTIF($B$2:$B$501,B43)&gt;1,"No."&amp;_xlfn.TEXTJOIN(", ",TRUE,IF(($B$2:$B$501=B43)*(ROW($B$2:$B$501)&lt;&gt;ROW(B43)),""&amp;$A$2:$A$501,"")),""))</f>
        <v/>
      </c>
      <c r="I43" s="10"/>
    </row>
    <row r="44" spans="1:9" x14ac:dyDescent="0.4">
      <c r="A44" s="3">
        <v>43</v>
      </c>
      <c r="B44" s="3" t="s">
        <v>48</v>
      </c>
      <c r="C44" s="3" t="s">
        <v>105</v>
      </c>
      <c r="D44" s="4" t="s">
        <v>160</v>
      </c>
      <c r="E44" s="3"/>
      <c r="F44" s="8">
        <v>46098</v>
      </c>
      <c r="G44" s="19" t="str">
        <f>IF('단어 시험장'!E44="❌","❌","")</f>
        <v/>
      </c>
      <c r="H44" s="23" t="str" cm="1">
        <f t="array" ref="H44">IF(B44="","",IF(COUNTIF($B$2:$B$501,B44)&gt;1,"No."&amp;_xlfn.TEXTJOIN(", ",TRUE,IF(($B$2:$B$501=B44)*(ROW($B$2:$B$501)&lt;&gt;ROW(B44)),""&amp;$A$2:$A$501,"")),""))</f>
        <v/>
      </c>
      <c r="I44" s="10"/>
    </row>
    <row r="45" spans="1:9" x14ac:dyDescent="0.4">
      <c r="A45" s="3">
        <v>44</v>
      </c>
      <c r="B45" s="3" t="s">
        <v>49</v>
      </c>
      <c r="C45" s="3" t="s">
        <v>106</v>
      </c>
      <c r="D45" s="4" t="s">
        <v>161</v>
      </c>
      <c r="E45" s="3"/>
      <c r="F45" s="8">
        <v>46098</v>
      </c>
      <c r="G45" s="19" t="str">
        <f>IF('단어 시험장'!E45="❌","❌","")</f>
        <v/>
      </c>
      <c r="H45" s="23" t="str" cm="1">
        <f t="array" ref="H45">IF(B45="","",IF(COUNTIF($B$2:$B$501,B45)&gt;1,"No."&amp;_xlfn.TEXTJOIN(", ",TRUE,IF(($B$2:$B$501=B45)*(ROW($B$2:$B$501)&lt;&gt;ROW(B45)),""&amp;$A$2:$A$501,"")),""))</f>
        <v/>
      </c>
      <c r="I45" s="10"/>
    </row>
    <row r="46" spans="1:9" x14ac:dyDescent="0.4">
      <c r="A46" s="3">
        <v>45</v>
      </c>
      <c r="B46" s="3" t="s">
        <v>50</v>
      </c>
      <c r="C46" s="3" t="s">
        <v>107</v>
      </c>
      <c r="D46" s="4" t="s">
        <v>162</v>
      </c>
      <c r="E46" s="3"/>
      <c r="F46" s="8">
        <v>46098</v>
      </c>
      <c r="G46" s="19" t="str">
        <f>IF('단어 시험장'!E46="❌","❌","")</f>
        <v/>
      </c>
      <c r="H46" s="23" t="str" cm="1">
        <f t="array" ref="H46">IF(B46="","",IF(COUNTIF($B$2:$B$501,B46)&gt;1,"No."&amp;_xlfn.TEXTJOIN(", ",TRUE,IF(($B$2:$B$501=B46)*(ROW($B$2:$B$501)&lt;&gt;ROW(B46)),""&amp;$A$2:$A$501,"")),""))</f>
        <v/>
      </c>
      <c r="I46" s="10"/>
    </row>
    <row r="47" spans="1:9" x14ac:dyDescent="0.4">
      <c r="A47" s="3">
        <v>46</v>
      </c>
      <c r="B47" s="3" t="s">
        <v>51</v>
      </c>
      <c r="C47" s="3" t="s">
        <v>108</v>
      </c>
      <c r="D47" s="4" t="s">
        <v>163</v>
      </c>
      <c r="E47" s="3"/>
      <c r="F47" s="8">
        <v>46098</v>
      </c>
      <c r="G47" s="19" t="str">
        <f>IF('단어 시험장'!E47="❌","❌","")</f>
        <v/>
      </c>
      <c r="H47" s="23" t="str" cm="1">
        <f t="array" ref="H47">IF(B47="","",IF(COUNTIF($B$2:$B$501,B47)&gt;1,"No."&amp;_xlfn.TEXTJOIN(", ",TRUE,IF(($B$2:$B$501=B47)*(ROW($B$2:$B$501)&lt;&gt;ROW(B47)),""&amp;$A$2:$A$501,"")),""))</f>
        <v/>
      </c>
      <c r="I47" s="10"/>
    </row>
    <row r="48" spans="1:9" x14ac:dyDescent="0.4">
      <c r="A48" s="3">
        <v>47</v>
      </c>
      <c r="B48" s="3" t="s">
        <v>52</v>
      </c>
      <c r="C48" s="3" t="s">
        <v>109</v>
      </c>
      <c r="D48" s="4" t="s">
        <v>164</v>
      </c>
      <c r="E48" s="3"/>
      <c r="F48" s="8">
        <v>46098</v>
      </c>
      <c r="G48" s="19" t="str">
        <f>IF('단어 시험장'!E48="❌","❌","")</f>
        <v/>
      </c>
      <c r="H48" s="23" t="str" cm="1">
        <f t="array" ref="H48">IF(B48="","",IF(COUNTIF($B$2:$B$501,B48)&gt;1,"No."&amp;_xlfn.TEXTJOIN(", ",TRUE,IF(($B$2:$B$501=B48)*(ROW($B$2:$B$501)&lt;&gt;ROW(B48)),""&amp;$A$2:$A$501,"")),""))</f>
        <v/>
      </c>
      <c r="I48" s="10"/>
    </row>
    <row r="49" spans="1:9" x14ac:dyDescent="0.4">
      <c r="A49" s="3">
        <v>48</v>
      </c>
      <c r="B49" s="3" t="s">
        <v>53</v>
      </c>
      <c r="C49" s="3" t="s">
        <v>110</v>
      </c>
      <c r="D49" s="4" t="s">
        <v>165</v>
      </c>
      <c r="E49" s="3"/>
      <c r="F49" s="8">
        <v>46098</v>
      </c>
      <c r="G49" s="19" t="str">
        <f>IF('단어 시험장'!E49="❌","❌","")</f>
        <v/>
      </c>
      <c r="H49" s="23" t="str" cm="1">
        <f t="array" ref="H49">IF(B49="","",IF(COUNTIF($B$2:$B$501,B49)&gt;1,"No."&amp;_xlfn.TEXTJOIN(", ",TRUE,IF(($B$2:$B$501=B49)*(ROW($B$2:$B$501)&lt;&gt;ROW(B49)),""&amp;$A$2:$A$501,"")),""))</f>
        <v/>
      </c>
      <c r="I49" s="10"/>
    </row>
    <row r="50" spans="1:9" x14ac:dyDescent="0.4">
      <c r="A50" s="3">
        <v>49</v>
      </c>
      <c r="B50" s="3" t="s">
        <v>54</v>
      </c>
      <c r="C50" s="3" t="s">
        <v>111</v>
      </c>
      <c r="D50" s="4" t="s">
        <v>166</v>
      </c>
      <c r="E50" s="3"/>
      <c r="F50" s="8">
        <v>46098</v>
      </c>
      <c r="G50" s="19" t="str">
        <f>IF('단어 시험장'!E50="❌","❌","")</f>
        <v/>
      </c>
      <c r="H50" s="23" t="str" cm="1">
        <f t="array" ref="H50">IF(B50="","",IF(COUNTIF($B$2:$B$501,B50)&gt;1,"No."&amp;_xlfn.TEXTJOIN(", ",TRUE,IF(($B$2:$B$501=B50)*(ROW($B$2:$B$501)&lt;&gt;ROW(B50)),""&amp;$A$2:$A$501,"")),""))</f>
        <v/>
      </c>
      <c r="I50" s="10"/>
    </row>
    <row r="51" spans="1:9" x14ac:dyDescent="0.4">
      <c r="A51" s="3">
        <v>50</v>
      </c>
      <c r="B51" s="3" t="s">
        <v>55</v>
      </c>
      <c r="C51" s="3" t="s">
        <v>112</v>
      </c>
      <c r="D51" s="4" t="s">
        <v>167</v>
      </c>
      <c r="E51" s="3"/>
      <c r="F51" s="8">
        <v>46098</v>
      </c>
      <c r="G51" s="19" t="str">
        <f>IF('단어 시험장'!E51="❌","❌","")</f>
        <v/>
      </c>
      <c r="H51" s="23" t="str" cm="1">
        <f t="array" ref="H51">IF(B51="","",IF(COUNTIF($B$2:$B$501,B51)&gt;1,"No."&amp;_xlfn.TEXTJOIN(", ",TRUE,IF(($B$2:$B$501=B51)*(ROW($B$2:$B$501)&lt;&gt;ROW(B51)),""&amp;$A$2:$A$501,"")),""))</f>
        <v/>
      </c>
      <c r="I51" s="10"/>
    </row>
    <row r="52" spans="1:9" x14ac:dyDescent="0.4">
      <c r="A52" s="3">
        <v>51</v>
      </c>
      <c r="B52" s="3" t="s">
        <v>56</v>
      </c>
      <c r="C52" s="3" t="s">
        <v>113</v>
      </c>
      <c r="D52" s="4" t="s">
        <v>168</v>
      </c>
      <c r="E52" s="3"/>
      <c r="F52" s="8">
        <v>46098</v>
      </c>
      <c r="G52" s="19" t="str">
        <f>IF('단어 시험장'!E52="❌","❌","")</f>
        <v/>
      </c>
      <c r="H52" s="23" t="str" cm="1">
        <f t="array" ref="H52">IF(B52="","",IF(COUNTIF($B$2:$B$501,B52)&gt;1,"No."&amp;_xlfn.TEXTJOIN(", ",TRUE,IF(($B$2:$B$501=B52)*(ROW($B$2:$B$501)&lt;&gt;ROW(B52)),""&amp;$A$2:$A$501,"")),""))</f>
        <v>No.438</v>
      </c>
      <c r="I52" s="10"/>
    </row>
    <row r="53" spans="1:9" x14ac:dyDescent="0.4">
      <c r="A53" s="3">
        <v>52</v>
      </c>
      <c r="B53" s="3" t="s">
        <v>57</v>
      </c>
      <c r="C53" s="3" t="s">
        <v>114</v>
      </c>
      <c r="D53" s="4" t="s">
        <v>169</v>
      </c>
      <c r="E53" s="3"/>
      <c r="F53" s="8">
        <v>46098</v>
      </c>
      <c r="G53" s="19" t="str">
        <f>IF('단어 시험장'!E53="❌","❌","")</f>
        <v/>
      </c>
      <c r="H53" s="23" t="str" cm="1">
        <f t="array" ref="H53">IF(B53="","",IF(COUNTIF($B$2:$B$501,B53)&gt;1,"No."&amp;_xlfn.TEXTJOIN(", ",TRUE,IF(($B$2:$B$501=B53)*(ROW($B$2:$B$501)&lt;&gt;ROW(B53)),""&amp;$A$2:$A$501,"")),""))</f>
        <v/>
      </c>
      <c r="I53" s="10"/>
    </row>
    <row r="54" spans="1:9" x14ac:dyDescent="0.4">
      <c r="A54" s="3">
        <v>53</v>
      </c>
      <c r="B54" s="3" t="s">
        <v>58</v>
      </c>
      <c r="C54" s="3" t="s">
        <v>115</v>
      </c>
      <c r="D54" s="4" t="s">
        <v>170</v>
      </c>
      <c r="E54" s="3"/>
      <c r="F54" s="8">
        <v>46098</v>
      </c>
      <c r="G54" s="19" t="str">
        <f>IF('단어 시험장'!E54="❌","❌","")</f>
        <v/>
      </c>
      <c r="H54" s="23" t="str" cm="1">
        <f t="array" ref="H54">IF(B54="","",IF(COUNTIF($B$2:$B$501,B54)&gt;1,"No."&amp;_xlfn.TEXTJOIN(", ",TRUE,IF(($B$2:$B$501=B54)*(ROW($B$2:$B$501)&lt;&gt;ROW(B54)),""&amp;$A$2:$A$501,"")),""))</f>
        <v/>
      </c>
      <c r="I54" s="10"/>
    </row>
    <row r="55" spans="1:9" x14ac:dyDescent="0.4">
      <c r="A55" s="3">
        <v>54</v>
      </c>
      <c r="B55" s="3" t="s">
        <v>59</v>
      </c>
      <c r="C55" s="3" t="s">
        <v>116</v>
      </c>
      <c r="D55" s="4" t="s">
        <v>171</v>
      </c>
      <c r="E55" s="3"/>
      <c r="F55" s="8">
        <v>46098</v>
      </c>
      <c r="G55" s="19" t="str">
        <f>IF('단어 시험장'!E55="❌","❌","")</f>
        <v/>
      </c>
      <c r="H55" s="23" t="str" cm="1">
        <f t="array" ref="H55">IF(B55="","",IF(COUNTIF($B$2:$B$501,B55)&gt;1,"No."&amp;_xlfn.TEXTJOIN(", ",TRUE,IF(($B$2:$B$501=B55)*(ROW($B$2:$B$501)&lt;&gt;ROW(B55)),""&amp;$A$2:$A$501,"")),""))</f>
        <v/>
      </c>
      <c r="I55" s="10"/>
    </row>
    <row r="56" spans="1:9" x14ac:dyDescent="0.4">
      <c r="A56" s="3">
        <v>55</v>
      </c>
      <c r="B56" s="3" t="s">
        <v>172</v>
      </c>
      <c r="C56" s="3" t="s">
        <v>225</v>
      </c>
      <c r="D56" s="4" t="s">
        <v>521</v>
      </c>
      <c r="E56" s="3"/>
      <c r="F56" s="8">
        <v>46098</v>
      </c>
      <c r="G56" s="19" t="str">
        <f>IF('단어 시험장'!E56="❌","❌","")</f>
        <v/>
      </c>
      <c r="H56" s="23" t="str" cm="1">
        <f t="array" ref="H56">IF(B56="","",IF(COUNTIF($B$2:$B$501,B56)&gt;1,"No."&amp;_xlfn.TEXTJOIN(", ",TRUE,IF(($B$2:$B$501=B56)*(ROW($B$2:$B$501)&lt;&gt;ROW(B56)),""&amp;$A$2:$A$501,"")),""))</f>
        <v/>
      </c>
      <c r="I56" s="10"/>
    </row>
    <row r="57" spans="1:9" x14ac:dyDescent="0.4">
      <c r="A57" s="3">
        <v>56</v>
      </c>
      <c r="B57" s="3" t="s">
        <v>173</v>
      </c>
      <c r="C57" s="3" t="s">
        <v>226</v>
      </c>
      <c r="D57" s="4" t="s">
        <v>522</v>
      </c>
      <c r="E57" s="3"/>
      <c r="F57" s="8">
        <v>46098</v>
      </c>
      <c r="G57" s="19" t="str">
        <f>IF('단어 시험장'!E57="❌","❌","")</f>
        <v/>
      </c>
      <c r="H57" s="23" t="str" cm="1">
        <f t="array" ref="H57">IF(B57="","",IF(COUNTIF($B$2:$B$501,B57)&gt;1,"No."&amp;_xlfn.TEXTJOIN(", ",TRUE,IF(($B$2:$B$501=B57)*(ROW($B$2:$B$501)&lt;&gt;ROW(B57)),""&amp;$A$2:$A$501,"")),""))</f>
        <v/>
      </c>
      <c r="I57" s="10"/>
    </row>
    <row r="58" spans="1:9" x14ac:dyDescent="0.4">
      <c r="A58" s="3">
        <v>57</v>
      </c>
      <c r="B58" s="3" t="s">
        <v>174</v>
      </c>
      <c r="C58" s="3" t="s">
        <v>227</v>
      </c>
      <c r="D58" s="4" t="s">
        <v>523</v>
      </c>
      <c r="E58" s="3"/>
      <c r="F58" s="8">
        <v>46098</v>
      </c>
      <c r="G58" s="19" t="str">
        <f>IF('단어 시험장'!E58="❌","❌","")</f>
        <v/>
      </c>
      <c r="H58" s="23" t="str" cm="1">
        <f t="array" ref="H58">IF(B58="","",IF(COUNTIF($B$2:$B$501,B58)&gt;1,"No."&amp;_xlfn.TEXTJOIN(", ",TRUE,IF(($B$2:$B$501=B58)*(ROW($B$2:$B$501)&lt;&gt;ROW(B58)),""&amp;$A$2:$A$501,"")),""))</f>
        <v/>
      </c>
      <c r="I58" s="10"/>
    </row>
    <row r="59" spans="1:9" x14ac:dyDescent="0.4">
      <c r="A59" s="3">
        <v>58</v>
      </c>
      <c r="B59" s="3" t="s">
        <v>175</v>
      </c>
      <c r="C59" s="3" t="s">
        <v>228</v>
      </c>
      <c r="D59" s="4" t="s">
        <v>524</v>
      </c>
      <c r="E59" s="3"/>
      <c r="F59" s="8">
        <v>46098</v>
      </c>
      <c r="G59" s="19" t="str">
        <f>IF('단어 시험장'!E59="❌","❌","")</f>
        <v/>
      </c>
      <c r="H59" s="23" t="str" cm="1">
        <f t="array" ref="H59">IF(B59="","",IF(COUNTIF($B$2:$B$501,B59)&gt;1,"No."&amp;_xlfn.TEXTJOIN(", ",TRUE,IF(($B$2:$B$501=B59)*(ROW($B$2:$B$501)&lt;&gt;ROW(B59)),""&amp;$A$2:$A$501,"")),""))</f>
        <v/>
      </c>
      <c r="I59" s="10"/>
    </row>
    <row r="60" spans="1:9" x14ac:dyDescent="0.4">
      <c r="A60" s="3">
        <v>59</v>
      </c>
      <c r="B60" s="3" t="s">
        <v>176</v>
      </c>
      <c r="C60" s="3" t="s">
        <v>229</v>
      </c>
      <c r="D60" s="4" t="s">
        <v>525</v>
      </c>
      <c r="E60" s="3"/>
      <c r="F60" s="8">
        <v>46098</v>
      </c>
      <c r="G60" s="19" t="str">
        <f>IF('단어 시험장'!E60="❌","❌","")</f>
        <v/>
      </c>
      <c r="H60" s="23" t="str" cm="1">
        <f t="array" ref="H60">IF(B60="","",IF(COUNTIF($B$2:$B$501,B60)&gt;1,"No."&amp;_xlfn.TEXTJOIN(", ",TRUE,IF(($B$2:$B$501=B60)*(ROW($B$2:$B$501)&lt;&gt;ROW(B60)),""&amp;$A$2:$A$501,"")),""))</f>
        <v/>
      </c>
      <c r="I60" s="10"/>
    </row>
    <row r="61" spans="1:9" x14ac:dyDescent="0.4">
      <c r="A61" s="3">
        <v>60</v>
      </c>
      <c r="B61" s="3" t="s">
        <v>177</v>
      </c>
      <c r="C61" s="3" t="s">
        <v>230</v>
      </c>
      <c r="D61" s="4" t="s">
        <v>526</v>
      </c>
      <c r="E61" s="3"/>
      <c r="F61" s="8">
        <v>46098</v>
      </c>
      <c r="G61" s="19" t="str">
        <f>IF('단어 시험장'!E61="❌","❌","")</f>
        <v/>
      </c>
      <c r="H61" s="23" t="str" cm="1">
        <f t="array" ref="H61">IF(B61="","",IF(COUNTIF($B$2:$B$501,B61)&gt;1,"No."&amp;_xlfn.TEXTJOIN(", ",TRUE,IF(($B$2:$B$501=B61)*(ROW($B$2:$B$501)&lt;&gt;ROW(B61)),""&amp;$A$2:$A$501,"")),""))</f>
        <v/>
      </c>
      <c r="I61" s="10"/>
    </row>
    <row r="62" spans="1:9" x14ac:dyDescent="0.4">
      <c r="A62" s="3">
        <v>61</v>
      </c>
      <c r="B62" s="3" t="s">
        <v>178</v>
      </c>
      <c r="C62" s="3" t="s">
        <v>231</v>
      </c>
      <c r="D62" s="4" t="s">
        <v>527</v>
      </c>
      <c r="E62" s="3"/>
      <c r="F62" s="8">
        <v>46098</v>
      </c>
      <c r="G62" s="19" t="str">
        <f>IF('단어 시험장'!E62="❌","❌","")</f>
        <v/>
      </c>
      <c r="H62" s="23" t="str" cm="1">
        <f t="array" ref="H62">IF(B62="","",IF(COUNTIF($B$2:$B$501,B62)&gt;1,"No."&amp;_xlfn.TEXTJOIN(", ",TRUE,IF(($B$2:$B$501=B62)*(ROW($B$2:$B$501)&lt;&gt;ROW(B62)),""&amp;$A$2:$A$501,"")),""))</f>
        <v/>
      </c>
      <c r="I62" s="10"/>
    </row>
    <row r="63" spans="1:9" x14ac:dyDescent="0.4">
      <c r="A63" s="3">
        <v>62</v>
      </c>
      <c r="B63" s="3" t="s">
        <v>179</v>
      </c>
      <c r="C63" s="3" t="s">
        <v>232</v>
      </c>
      <c r="D63" s="4" t="s">
        <v>528</v>
      </c>
      <c r="E63" s="3"/>
      <c r="F63" s="8">
        <v>46098</v>
      </c>
      <c r="G63" s="19" t="str">
        <f>IF('단어 시험장'!E63="❌","❌","")</f>
        <v/>
      </c>
      <c r="H63" s="23" t="str" cm="1">
        <f t="array" ref="H63">IF(B63="","",IF(COUNTIF($B$2:$B$501,B63)&gt;1,"No."&amp;_xlfn.TEXTJOIN(", ",TRUE,IF(($B$2:$B$501=B63)*(ROW($B$2:$B$501)&lt;&gt;ROW(B63)),""&amp;$A$2:$A$501,"")),""))</f>
        <v/>
      </c>
      <c r="I63" s="10"/>
    </row>
    <row r="64" spans="1:9" x14ac:dyDescent="0.4">
      <c r="A64" s="3">
        <v>63</v>
      </c>
      <c r="B64" s="3" t="s">
        <v>180</v>
      </c>
      <c r="C64" s="3" t="s">
        <v>233</v>
      </c>
      <c r="D64" s="4" t="s">
        <v>529</v>
      </c>
      <c r="E64" s="3"/>
      <c r="F64" s="8">
        <v>46098</v>
      </c>
      <c r="G64" s="19" t="str">
        <f>IF('단어 시험장'!E64="❌","❌","")</f>
        <v/>
      </c>
      <c r="H64" s="23" t="str" cm="1">
        <f t="array" ref="H64">IF(B64="","",IF(COUNTIF($B$2:$B$501,B64)&gt;1,"No."&amp;_xlfn.TEXTJOIN(", ",TRUE,IF(($B$2:$B$501=B64)*(ROW($B$2:$B$501)&lt;&gt;ROW(B64)),""&amp;$A$2:$A$501,"")),""))</f>
        <v/>
      </c>
      <c r="I64" s="10"/>
    </row>
    <row r="65" spans="1:9" x14ac:dyDescent="0.4">
      <c r="A65" s="3">
        <v>64</v>
      </c>
      <c r="B65" s="3" t="s">
        <v>181</v>
      </c>
      <c r="C65" s="3" t="s">
        <v>234</v>
      </c>
      <c r="D65" s="4" t="s">
        <v>530</v>
      </c>
      <c r="E65" s="3"/>
      <c r="F65" s="8">
        <v>46098</v>
      </c>
      <c r="G65" s="19" t="str">
        <f>IF('단어 시험장'!E65="❌","❌","")</f>
        <v/>
      </c>
      <c r="H65" s="23" t="str" cm="1">
        <f t="array" ref="H65">IF(B65="","",IF(COUNTIF($B$2:$B$501,B65)&gt;1,"No."&amp;_xlfn.TEXTJOIN(", ",TRUE,IF(($B$2:$B$501=B65)*(ROW($B$2:$B$501)&lt;&gt;ROW(B65)),""&amp;$A$2:$A$501,"")),""))</f>
        <v/>
      </c>
      <c r="I65" s="10"/>
    </row>
    <row r="66" spans="1:9" x14ac:dyDescent="0.4">
      <c r="A66" s="3">
        <v>65</v>
      </c>
      <c r="B66" s="3" t="s">
        <v>182</v>
      </c>
      <c r="C66" s="3" t="s">
        <v>235</v>
      </c>
      <c r="D66" s="4" t="s">
        <v>531</v>
      </c>
      <c r="E66" s="3"/>
      <c r="F66" s="8">
        <v>46098</v>
      </c>
      <c r="G66" s="19" t="str">
        <f>IF('단어 시험장'!E66="❌","❌","")</f>
        <v/>
      </c>
      <c r="H66" s="23" t="str" cm="1">
        <f t="array" ref="H66">IF(B66="","",IF(COUNTIF($B$2:$B$501,B66)&gt;1,"No."&amp;_xlfn.TEXTJOIN(", ",TRUE,IF(($B$2:$B$501=B66)*(ROW($B$2:$B$501)&lt;&gt;ROW(B66)),""&amp;$A$2:$A$501,"")),""))</f>
        <v/>
      </c>
      <c r="I66" s="10"/>
    </row>
    <row r="67" spans="1:9" x14ac:dyDescent="0.4">
      <c r="A67" s="3">
        <v>66</v>
      </c>
      <c r="B67" s="3" t="s">
        <v>183</v>
      </c>
      <c r="C67" s="3" t="s">
        <v>236</v>
      </c>
      <c r="D67" s="4" t="s">
        <v>532</v>
      </c>
      <c r="E67" s="3"/>
      <c r="F67" s="8">
        <v>46098</v>
      </c>
      <c r="G67" s="19" t="str">
        <f>IF('단어 시험장'!E67="❌","❌","")</f>
        <v/>
      </c>
      <c r="H67" s="23" t="str" cm="1">
        <f t="array" ref="H67">IF(B67="","",IF(COUNTIF($B$2:$B$501,B67)&gt;1,"No."&amp;_xlfn.TEXTJOIN(", ",TRUE,IF(($B$2:$B$501=B67)*(ROW($B$2:$B$501)&lt;&gt;ROW(B67)),""&amp;$A$2:$A$501,"")),""))</f>
        <v/>
      </c>
      <c r="I67" s="10"/>
    </row>
    <row r="68" spans="1:9" x14ac:dyDescent="0.4">
      <c r="A68" s="3">
        <v>67</v>
      </c>
      <c r="B68" s="3" t="s">
        <v>184</v>
      </c>
      <c r="C68" s="3" t="s">
        <v>237</v>
      </c>
      <c r="D68" s="4" t="s">
        <v>533</v>
      </c>
      <c r="E68" s="3"/>
      <c r="F68" s="8">
        <v>46098</v>
      </c>
      <c r="G68" s="19" t="str">
        <f>IF('단어 시험장'!E68="❌","❌","")</f>
        <v/>
      </c>
      <c r="H68" s="23" t="str" cm="1">
        <f t="array" ref="H68">IF(B68="","",IF(COUNTIF($B$2:$B$501,B68)&gt;1,"No."&amp;_xlfn.TEXTJOIN(", ",TRUE,IF(($B$2:$B$501=B68)*(ROW($B$2:$B$501)&lt;&gt;ROW(B68)),""&amp;$A$2:$A$501,"")),""))</f>
        <v/>
      </c>
      <c r="I68" s="10"/>
    </row>
    <row r="69" spans="1:9" x14ac:dyDescent="0.4">
      <c r="A69" s="3">
        <v>68</v>
      </c>
      <c r="B69" s="3" t="s">
        <v>185</v>
      </c>
      <c r="C69" s="3" t="s">
        <v>238</v>
      </c>
      <c r="D69" s="4" t="s">
        <v>534</v>
      </c>
      <c r="E69" s="3"/>
      <c r="F69" s="8">
        <v>46098</v>
      </c>
      <c r="G69" s="19" t="str">
        <f>IF('단어 시험장'!E69="❌","❌","")</f>
        <v/>
      </c>
      <c r="H69" s="23" t="str" cm="1">
        <f t="array" ref="H69">IF(B69="","",IF(COUNTIF($B$2:$B$501,B69)&gt;1,"No."&amp;_xlfn.TEXTJOIN(", ",TRUE,IF(($B$2:$B$501=B69)*(ROW($B$2:$B$501)&lt;&gt;ROW(B69)),""&amp;$A$2:$A$501,"")),""))</f>
        <v/>
      </c>
      <c r="I69" s="10"/>
    </row>
    <row r="70" spans="1:9" x14ac:dyDescent="0.4">
      <c r="A70" s="3">
        <v>69</v>
      </c>
      <c r="B70" s="3" t="s">
        <v>186</v>
      </c>
      <c r="C70" s="3" t="s">
        <v>239</v>
      </c>
      <c r="D70" s="4" t="s">
        <v>535</v>
      </c>
      <c r="E70" s="3"/>
      <c r="F70" s="8">
        <v>46098</v>
      </c>
      <c r="G70" s="19" t="str">
        <f>IF('단어 시험장'!E70="❌","❌","")</f>
        <v/>
      </c>
      <c r="H70" s="23" t="str" cm="1">
        <f t="array" ref="H70">IF(B70="","",IF(COUNTIF($B$2:$B$501,B70)&gt;1,"No."&amp;_xlfn.TEXTJOIN(", ",TRUE,IF(($B$2:$B$501=B70)*(ROW($B$2:$B$501)&lt;&gt;ROW(B70)),""&amp;$A$2:$A$501,"")),""))</f>
        <v/>
      </c>
      <c r="I70" s="10"/>
    </row>
    <row r="71" spans="1:9" x14ac:dyDescent="0.4">
      <c r="A71" s="3">
        <v>70</v>
      </c>
      <c r="B71" s="3" t="s">
        <v>187</v>
      </c>
      <c r="C71" s="3" t="s">
        <v>240</v>
      </c>
      <c r="D71" s="4" t="s">
        <v>536</v>
      </c>
      <c r="E71" s="3"/>
      <c r="F71" s="8">
        <v>46098</v>
      </c>
      <c r="G71" s="19" t="str">
        <f>IF('단어 시험장'!E71="❌","❌","")</f>
        <v/>
      </c>
      <c r="H71" s="23" t="str" cm="1">
        <f t="array" ref="H71">IF(B71="","",IF(COUNTIF($B$2:$B$501,B71)&gt;1,"No."&amp;_xlfn.TEXTJOIN(", ",TRUE,IF(($B$2:$B$501=B71)*(ROW($B$2:$B$501)&lt;&gt;ROW(B71)),""&amp;$A$2:$A$501,"")),""))</f>
        <v/>
      </c>
      <c r="I71" s="10"/>
    </row>
    <row r="72" spans="1:9" x14ac:dyDescent="0.4">
      <c r="A72" s="3">
        <v>71</v>
      </c>
      <c r="B72" s="3" t="s">
        <v>188</v>
      </c>
      <c r="C72" s="3" t="s">
        <v>241</v>
      </c>
      <c r="D72" s="4" t="s">
        <v>537</v>
      </c>
      <c r="E72" s="3"/>
      <c r="F72" s="8">
        <v>46098</v>
      </c>
      <c r="G72" s="19" t="str">
        <f>IF('단어 시험장'!E72="❌","❌","")</f>
        <v/>
      </c>
      <c r="H72" s="23" t="str" cm="1">
        <f t="array" ref="H72">IF(B72="","",IF(COUNTIF($B$2:$B$501,B72)&gt;1,"No."&amp;_xlfn.TEXTJOIN(", ",TRUE,IF(($B$2:$B$501=B72)*(ROW($B$2:$B$501)&lt;&gt;ROW(B72)),""&amp;$A$2:$A$501,"")),""))</f>
        <v>No.289</v>
      </c>
      <c r="I72" s="10"/>
    </row>
    <row r="73" spans="1:9" x14ac:dyDescent="0.4">
      <c r="A73" s="3">
        <v>72</v>
      </c>
      <c r="B73" s="3" t="s">
        <v>189</v>
      </c>
      <c r="C73" s="3" t="s">
        <v>242</v>
      </c>
      <c r="D73" s="4" t="s">
        <v>538</v>
      </c>
      <c r="E73" s="3"/>
      <c r="F73" s="8">
        <v>46098</v>
      </c>
      <c r="G73" s="19" t="str">
        <f>IF('단어 시험장'!E73="❌","❌","")</f>
        <v/>
      </c>
      <c r="H73" s="23" t="str" cm="1">
        <f t="array" ref="H73">IF(B73="","",IF(COUNTIF($B$2:$B$501,B73)&gt;1,"No."&amp;_xlfn.TEXTJOIN(", ",TRUE,IF(($B$2:$B$501=B73)*(ROW($B$2:$B$501)&lt;&gt;ROW(B73)),""&amp;$A$2:$A$501,"")),""))</f>
        <v/>
      </c>
      <c r="I73" s="10"/>
    </row>
    <row r="74" spans="1:9" x14ac:dyDescent="0.4">
      <c r="A74" s="3">
        <v>73</v>
      </c>
      <c r="B74" s="3" t="s">
        <v>190</v>
      </c>
      <c r="C74" s="3" t="s">
        <v>243</v>
      </c>
      <c r="D74" s="4" t="s">
        <v>539</v>
      </c>
      <c r="E74" s="3"/>
      <c r="F74" s="8">
        <v>46098</v>
      </c>
      <c r="G74" s="19" t="str">
        <f>IF('단어 시험장'!E74="❌","❌","")</f>
        <v/>
      </c>
      <c r="H74" s="23" t="str" cm="1">
        <f t="array" ref="H74">IF(B74="","",IF(COUNTIF($B$2:$B$501,B74)&gt;1,"No."&amp;_xlfn.TEXTJOIN(", ",TRUE,IF(($B$2:$B$501=B74)*(ROW($B$2:$B$501)&lt;&gt;ROW(B74)),""&amp;$A$2:$A$501,"")),""))</f>
        <v/>
      </c>
      <c r="I74" s="10"/>
    </row>
    <row r="75" spans="1:9" x14ac:dyDescent="0.4">
      <c r="A75" s="3">
        <v>74</v>
      </c>
      <c r="B75" s="3" t="s">
        <v>191</v>
      </c>
      <c r="C75" s="3" t="s">
        <v>244</v>
      </c>
      <c r="D75" s="4" t="s">
        <v>540</v>
      </c>
      <c r="E75" s="3"/>
      <c r="F75" s="8">
        <v>46098</v>
      </c>
      <c r="G75" s="19" t="str">
        <f>IF('단어 시험장'!E75="❌","❌","")</f>
        <v/>
      </c>
      <c r="H75" s="23" t="str" cm="1">
        <f t="array" ref="H75">IF(B75="","",IF(COUNTIF($B$2:$B$501,B75)&gt;1,"No."&amp;_xlfn.TEXTJOIN(", ",TRUE,IF(($B$2:$B$501=B75)*(ROW($B$2:$B$501)&lt;&gt;ROW(B75)),""&amp;$A$2:$A$501,"")),""))</f>
        <v/>
      </c>
      <c r="I75" s="10"/>
    </row>
    <row r="76" spans="1:9" x14ac:dyDescent="0.4">
      <c r="A76" s="3">
        <v>75</v>
      </c>
      <c r="B76" s="3" t="s">
        <v>192</v>
      </c>
      <c r="C76" s="3" t="s">
        <v>245</v>
      </c>
      <c r="D76" s="4" t="s">
        <v>541</v>
      </c>
      <c r="E76" s="3"/>
      <c r="F76" s="8">
        <v>46098</v>
      </c>
      <c r="G76" s="19" t="str">
        <f>IF('단어 시험장'!E76="❌","❌","")</f>
        <v/>
      </c>
      <c r="H76" s="23" t="str" cm="1">
        <f t="array" ref="H76">IF(B76="","",IF(COUNTIF($B$2:$B$501,B76)&gt;1,"No."&amp;_xlfn.TEXTJOIN(", ",TRUE,IF(($B$2:$B$501=B76)*(ROW($B$2:$B$501)&lt;&gt;ROW(B76)),""&amp;$A$2:$A$501,"")),""))</f>
        <v/>
      </c>
      <c r="I76" s="10"/>
    </row>
    <row r="77" spans="1:9" x14ac:dyDescent="0.4">
      <c r="A77" s="3">
        <v>76</v>
      </c>
      <c r="B77" s="3" t="s">
        <v>193</v>
      </c>
      <c r="C77" s="3" t="s">
        <v>246</v>
      </c>
      <c r="D77" s="4" t="s">
        <v>542</v>
      </c>
      <c r="E77" s="3"/>
      <c r="F77" s="8">
        <v>46098</v>
      </c>
      <c r="G77" s="19" t="str">
        <f>IF('단어 시험장'!E77="❌","❌","")</f>
        <v/>
      </c>
      <c r="H77" s="23" t="str" cm="1">
        <f t="array" ref="H77">IF(B77="","",IF(COUNTIF($B$2:$B$501,B77)&gt;1,"No."&amp;_xlfn.TEXTJOIN(", ",TRUE,IF(($B$2:$B$501=B77)*(ROW($B$2:$B$501)&lt;&gt;ROW(B77)),""&amp;$A$2:$A$501,"")),""))</f>
        <v/>
      </c>
      <c r="I77" s="10"/>
    </row>
    <row r="78" spans="1:9" x14ac:dyDescent="0.4">
      <c r="A78" s="3">
        <v>77</v>
      </c>
      <c r="B78" s="3" t="s">
        <v>194</v>
      </c>
      <c r="C78" s="3" t="s">
        <v>247</v>
      </c>
      <c r="D78" s="4" t="s">
        <v>543</v>
      </c>
      <c r="E78" s="3"/>
      <c r="F78" s="8">
        <v>46098</v>
      </c>
      <c r="G78" s="19" t="str">
        <f>IF('단어 시험장'!E78="❌","❌","")</f>
        <v/>
      </c>
      <c r="H78" s="23" t="str" cm="1">
        <f t="array" ref="H78">IF(B78="","",IF(COUNTIF($B$2:$B$501,B78)&gt;1,"No."&amp;_xlfn.TEXTJOIN(", ",TRUE,IF(($B$2:$B$501=B78)*(ROW($B$2:$B$501)&lt;&gt;ROW(B78)),""&amp;$A$2:$A$501,"")),""))</f>
        <v/>
      </c>
      <c r="I78" s="10"/>
    </row>
    <row r="79" spans="1:9" x14ac:dyDescent="0.4">
      <c r="A79" s="3">
        <v>78</v>
      </c>
      <c r="B79" s="3" t="s">
        <v>195</v>
      </c>
      <c r="C79" s="3" t="s">
        <v>248</v>
      </c>
      <c r="D79" s="4" t="s">
        <v>544</v>
      </c>
      <c r="E79" s="3"/>
      <c r="F79" s="8">
        <v>46098</v>
      </c>
      <c r="G79" s="19" t="str">
        <f>IF('단어 시험장'!E79="❌","❌","")</f>
        <v/>
      </c>
      <c r="H79" s="23" t="str" cm="1">
        <f t="array" ref="H79">IF(B79="","",IF(COUNTIF($B$2:$B$501,B79)&gt;1,"No."&amp;_xlfn.TEXTJOIN(", ",TRUE,IF(($B$2:$B$501=B79)*(ROW($B$2:$B$501)&lt;&gt;ROW(B79)),""&amp;$A$2:$A$501,"")),""))</f>
        <v/>
      </c>
      <c r="I79" s="10"/>
    </row>
    <row r="80" spans="1:9" x14ac:dyDescent="0.4">
      <c r="A80" s="3">
        <v>79</v>
      </c>
      <c r="B80" s="3" t="s">
        <v>196</v>
      </c>
      <c r="C80" s="3" t="s">
        <v>249</v>
      </c>
      <c r="D80" s="4" t="s">
        <v>545</v>
      </c>
      <c r="E80" s="3"/>
      <c r="F80" s="8">
        <v>46098</v>
      </c>
      <c r="G80" s="19" t="str">
        <f>IF('단어 시험장'!E80="❌","❌","")</f>
        <v/>
      </c>
      <c r="H80" s="23" t="str" cm="1">
        <f t="array" ref="H80">IF(B80="","",IF(COUNTIF($B$2:$B$501,B80)&gt;1,"No."&amp;_xlfn.TEXTJOIN(", ",TRUE,IF(($B$2:$B$501=B80)*(ROW($B$2:$B$501)&lt;&gt;ROW(B80)),""&amp;$A$2:$A$501,"")),""))</f>
        <v/>
      </c>
      <c r="I80" s="10"/>
    </row>
    <row r="81" spans="1:9" x14ac:dyDescent="0.4">
      <c r="A81" s="3">
        <v>80</v>
      </c>
      <c r="B81" s="3" t="s">
        <v>197</v>
      </c>
      <c r="C81" s="3" t="s">
        <v>251</v>
      </c>
      <c r="D81" s="4" t="s">
        <v>552</v>
      </c>
      <c r="E81" s="3"/>
      <c r="F81" s="8">
        <v>46098</v>
      </c>
      <c r="G81" s="19" t="str">
        <f>IF('단어 시험장'!E81="❌","❌","")</f>
        <v/>
      </c>
      <c r="H81" s="23" t="str" cm="1">
        <f t="array" ref="H81">IF(B81="","",IF(COUNTIF($B$2:$B$501,B81)&gt;1,"No."&amp;_xlfn.TEXTJOIN(", ",TRUE,IF(($B$2:$B$501=B81)*(ROW($B$2:$B$501)&lt;&gt;ROW(B81)),""&amp;$A$2:$A$501,"")),""))</f>
        <v/>
      </c>
      <c r="I81" s="10"/>
    </row>
    <row r="82" spans="1:9" x14ac:dyDescent="0.4">
      <c r="A82" s="3">
        <v>81</v>
      </c>
      <c r="B82" s="3" t="s">
        <v>198</v>
      </c>
      <c r="C82" s="3" t="s">
        <v>250</v>
      </c>
      <c r="D82" s="4" t="s">
        <v>555</v>
      </c>
      <c r="E82" s="3"/>
      <c r="F82" s="8">
        <v>46098</v>
      </c>
      <c r="G82" s="19" t="str">
        <f>IF('단어 시험장'!E82="❌","❌","")</f>
        <v/>
      </c>
      <c r="H82" s="23" t="str" cm="1">
        <f t="array" ref="H82">IF(B82="","",IF(COUNTIF($B$2:$B$501,B82)&gt;1,"No."&amp;_xlfn.TEXTJOIN(", ",TRUE,IF(($B$2:$B$501=B82)*(ROW($B$2:$B$501)&lt;&gt;ROW(B82)),""&amp;$A$2:$A$501,"")),""))</f>
        <v/>
      </c>
      <c r="I82" s="10"/>
    </row>
    <row r="83" spans="1:9" x14ac:dyDescent="0.4">
      <c r="A83" s="3">
        <v>82</v>
      </c>
      <c r="B83" s="3" t="s">
        <v>199</v>
      </c>
      <c r="C83" s="3" t="s">
        <v>252</v>
      </c>
      <c r="D83" s="4" t="s">
        <v>556</v>
      </c>
      <c r="E83" s="3"/>
      <c r="F83" s="8">
        <v>46098</v>
      </c>
      <c r="G83" s="19" t="str">
        <f>IF('단어 시험장'!E83="❌","❌","")</f>
        <v/>
      </c>
      <c r="H83" s="23" t="str" cm="1">
        <f t="array" ref="H83">IF(B83="","",IF(COUNTIF($B$2:$B$501,B83)&gt;1,"No."&amp;_xlfn.TEXTJOIN(", ",TRUE,IF(($B$2:$B$501=B83)*(ROW($B$2:$B$501)&lt;&gt;ROW(B83)),""&amp;$A$2:$A$501,"")),""))</f>
        <v/>
      </c>
      <c r="I83" s="10"/>
    </row>
    <row r="84" spans="1:9" x14ac:dyDescent="0.4">
      <c r="A84" s="3">
        <v>83</v>
      </c>
      <c r="B84" s="3" t="s">
        <v>200</v>
      </c>
      <c r="C84" s="3" t="s">
        <v>253</v>
      </c>
      <c r="D84" s="4" t="s">
        <v>557</v>
      </c>
      <c r="E84" s="3"/>
      <c r="F84" s="8">
        <v>46098</v>
      </c>
      <c r="G84" s="19" t="str">
        <f>IF('단어 시험장'!E84="❌","❌","")</f>
        <v/>
      </c>
      <c r="H84" s="23" t="str" cm="1">
        <f t="array" ref="H84">IF(B84="","",IF(COUNTIF($B$2:$B$501,B84)&gt;1,"No."&amp;_xlfn.TEXTJOIN(", ",TRUE,IF(($B$2:$B$501=B84)*(ROW($B$2:$B$501)&lt;&gt;ROW(B84)),""&amp;$A$2:$A$501,"")),""))</f>
        <v/>
      </c>
      <c r="I84" s="10"/>
    </row>
    <row r="85" spans="1:9" x14ac:dyDescent="0.4">
      <c r="A85" s="3">
        <v>84</v>
      </c>
      <c r="B85" s="3" t="s">
        <v>201</v>
      </c>
      <c r="C85" s="3" t="s">
        <v>254</v>
      </c>
      <c r="D85" s="4" t="s">
        <v>558</v>
      </c>
      <c r="E85" s="3"/>
      <c r="F85" s="8">
        <v>46098</v>
      </c>
      <c r="G85" s="19" t="str">
        <f>IF('단어 시험장'!E85="❌","❌","")</f>
        <v/>
      </c>
      <c r="H85" s="23" t="str" cm="1">
        <f t="array" ref="H85">IF(B85="","",IF(COUNTIF($B$2:$B$501,B85)&gt;1,"No."&amp;_xlfn.TEXTJOIN(", ",TRUE,IF(($B$2:$B$501=B85)*(ROW($B$2:$B$501)&lt;&gt;ROW(B85)),""&amp;$A$2:$A$501,"")),""))</f>
        <v/>
      </c>
      <c r="I85" s="10"/>
    </row>
    <row r="86" spans="1:9" x14ac:dyDescent="0.4">
      <c r="A86" s="3">
        <v>85</v>
      </c>
      <c r="B86" s="3" t="s">
        <v>202</v>
      </c>
      <c r="C86" s="3" t="s">
        <v>255</v>
      </c>
      <c r="D86" s="4" t="s">
        <v>559</v>
      </c>
      <c r="E86" s="3"/>
      <c r="F86" s="8">
        <v>46098</v>
      </c>
      <c r="G86" s="19" t="str">
        <f>IF('단어 시험장'!E86="❌","❌","")</f>
        <v/>
      </c>
      <c r="H86" s="23" t="str" cm="1">
        <f t="array" ref="H86">IF(B86="","",IF(COUNTIF($B$2:$B$501,B86)&gt;1,"No."&amp;_xlfn.TEXTJOIN(", ",TRUE,IF(($B$2:$B$501=B86)*(ROW($B$2:$B$501)&lt;&gt;ROW(B86)),""&amp;$A$2:$A$501,"")),""))</f>
        <v/>
      </c>
      <c r="I86" s="10"/>
    </row>
    <row r="87" spans="1:9" x14ac:dyDescent="0.4">
      <c r="A87" s="3">
        <v>86</v>
      </c>
      <c r="B87" s="3" t="s">
        <v>203</v>
      </c>
      <c r="C87" s="3" t="s">
        <v>256</v>
      </c>
      <c r="D87" s="4" t="s">
        <v>560</v>
      </c>
      <c r="E87" s="3"/>
      <c r="F87" s="8">
        <v>46098</v>
      </c>
      <c r="G87" s="19" t="str">
        <f>IF('단어 시험장'!E87="❌","❌","")</f>
        <v/>
      </c>
      <c r="H87" s="23" t="str" cm="1">
        <f t="array" ref="H87">IF(B87="","",IF(COUNTIF($B$2:$B$501,B87)&gt;1,"No."&amp;_xlfn.TEXTJOIN(", ",TRUE,IF(($B$2:$B$501=B87)*(ROW($B$2:$B$501)&lt;&gt;ROW(B87)),""&amp;$A$2:$A$501,"")),""))</f>
        <v/>
      </c>
      <c r="I87" s="10"/>
    </row>
    <row r="88" spans="1:9" x14ac:dyDescent="0.4">
      <c r="A88" s="3">
        <v>87</v>
      </c>
      <c r="B88" s="3" t="s">
        <v>204</v>
      </c>
      <c r="C88" s="3" t="s">
        <v>257</v>
      </c>
      <c r="D88" s="4" t="s">
        <v>561</v>
      </c>
      <c r="E88" s="3"/>
      <c r="F88" s="8">
        <v>46098</v>
      </c>
      <c r="G88" s="19" t="str">
        <f>IF('단어 시험장'!E88="❌","❌","")</f>
        <v/>
      </c>
      <c r="H88" s="23" t="str" cm="1">
        <f t="array" ref="H88">IF(B88="","",IF(COUNTIF($B$2:$B$501,B88)&gt;1,"No."&amp;_xlfn.TEXTJOIN(", ",TRUE,IF(($B$2:$B$501=B88)*(ROW($B$2:$B$501)&lt;&gt;ROW(B88)),""&amp;$A$2:$A$501,"")),""))</f>
        <v>No.382</v>
      </c>
      <c r="I88" s="10"/>
    </row>
    <row r="89" spans="1:9" x14ac:dyDescent="0.4">
      <c r="A89" s="3">
        <v>88</v>
      </c>
      <c r="B89" s="3" t="s">
        <v>205</v>
      </c>
      <c r="C89" s="3" t="s">
        <v>258</v>
      </c>
      <c r="D89" s="4" t="s">
        <v>562</v>
      </c>
      <c r="E89" s="3"/>
      <c r="F89" s="8">
        <v>46098</v>
      </c>
      <c r="G89" s="19" t="str">
        <f>IF('단어 시험장'!E89="❌","❌","")</f>
        <v/>
      </c>
      <c r="H89" s="23" t="str" cm="1">
        <f t="array" ref="H89">IF(B89="","",IF(COUNTIF($B$2:$B$501,B89)&gt;1,"No."&amp;_xlfn.TEXTJOIN(", ",TRUE,IF(($B$2:$B$501=B89)*(ROW($B$2:$B$501)&lt;&gt;ROW(B89)),""&amp;$A$2:$A$501,"")),""))</f>
        <v/>
      </c>
      <c r="I89" s="10"/>
    </row>
    <row r="90" spans="1:9" x14ac:dyDescent="0.4">
      <c r="A90" s="3">
        <v>89</v>
      </c>
      <c r="B90" s="3" t="s">
        <v>206</v>
      </c>
      <c r="C90" s="3" t="s">
        <v>259</v>
      </c>
      <c r="D90" s="4" t="s">
        <v>563</v>
      </c>
      <c r="E90" s="3"/>
      <c r="F90" s="8">
        <v>46098</v>
      </c>
      <c r="G90" s="19" t="str">
        <f>IF('단어 시험장'!E90="❌","❌","")</f>
        <v/>
      </c>
      <c r="H90" s="23" t="str" cm="1">
        <f t="array" ref="H90">IF(B90="","",IF(COUNTIF($B$2:$B$501,B90)&gt;1,"No."&amp;_xlfn.TEXTJOIN(", ",TRUE,IF(($B$2:$B$501=B90)*(ROW($B$2:$B$501)&lt;&gt;ROW(B90)),""&amp;$A$2:$A$501,"")),""))</f>
        <v/>
      </c>
      <c r="I90" s="10"/>
    </row>
    <row r="91" spans="1:9" x14ac:dyDescent="0.4">
      <c r="A91" s="3">
        <v>90</v>
      </c>
      <c r="B91" s="3" t="s">
        <v>207</v>
      </c>
      <c r="C91" s="3" t="s">
        <v>242</v>
      </c>
      <c r="D91" s="4" t="s">
        <v>564</v>
      </c>
      <c r="E91" s="3"/>
      <c r="F91" s="8">
        <v>46098</v>
      </c>
      <c r="G91" s="19" t="str">
        <f>IF('단어 시험장'!E91="❌","❌","")</f>
        <v/>
      </c>
      <c r="H91" s="23" t="str" cm="1">
        <f t="array" ref="H91">IF(B91="","",IF(COUNTIF($B$2:$B$501,B91)&gt;1,"No."&amp;_xlfn.TEXTJOIN(", ",TRUE,IF(($B$2:$B$501=B91)*(ROW($B$2:$B$501)&lt;&gt;ROW(B91)),""&amp;$A$2:$A$501,"")),""))</f>
        <v/>
      </c>
      <c r="I91" s="10"/>
    </row>
    <row r="92" spans="1:9" x14ac:dyDescent="0.4">
      <c r="A92" s="3">
        <v>91</v>
      </c>
      <c r="B92" s="3" t="s">
        <v>208</v>
      </c>
      <c r="C92" s="3" t="s">
        <v>125</v>
      </c>
      <c r="D92" s="4" t="s">
        <v>565</v>
      </c>
      <c r="E92" s="3"/>
      <c r="F92" s="8">
        <v>46098</v>
      </c>
      <c r="G92" s="19" t="str">
        <f>IF('단어 시험장'!E92="❌","❌","")</f>
        <v/>
      </c>
      <c r="H92" s="23" t="str" cm="1">
        <f t="array" ref="H92">IF(B92="","",IF(COUNTIF($B$2:$B$501,B92)&gt;1,"No."&amp;_xlfn.TEXTJOIN(", ",TRUE,IF(($B$2:$B$501=B92)*(ROW($B$2:$B$501)&lt;&gt;ROW(B92)),""&amp;$A$2:$A$501,"")),""))</f>
        <v/>
      </c>
      <c r="I92" s="10"/>
    </row>
    <row r="93" spans="1:9" x14ac:dyDescent="0.4">
      <c r="A93" s="3">
        <v>92</v>
      </c>
      <c r="B93" s="3" t="s">
        <v>209</v>
      </c>
      <c r="C93" s="3" t="s">
        <v>260</v>
      </c>
      <c r="D93" s="4" t="s">
        <v>566</v>
      </c>
      <c r="E93" s="3"/>
      <c r="F93" s="8">
        <v>46098</v>
      </c>
      <c r="G93" s="19" t="str">
        <f>IF('단어 시험장'!E93="❌","❌","")</f>
        <v/>
      </c>
      <c r="H93" s="23" t="str" cm="1">
        <f t="array" ref="H93">IF(B93="","",IF(COUNTIF($B$2:$B$501,B93)&gt;1,"No."&amp;_xlfn.TEXTJOIN(", ",TRUE,IF(($B$2:$B$501=B93)*(ROW($B$2:$B$501)&lt;&gt;ROW(B93)),""&amp;$A$2:$A$501,"")),""))</f>
        <v/>
      </c>
      <c r="I93" s="10"/>
    </row>
    <row r="94" spans="1:9" x14ac:dyDescent="0.4">
      <c r="A94" s="3">
        <v>93</v>
      </c>
      <c r="B94" s="3" t="s">
        <v>210</v>
      </c>
      <c r="C94" s="3" t="s">
        <v>261</v>
      </c>
      <c r="D94" s="4" t="s">
        <v>567</v>
      </c>
      <c r="E94" s="3"/>
      <c r="F94" s="8">
        <v>46098</v>
      </c>
      <c r="G94" s="19" t="str">
        <f>IF('단어 시험장'!E94="❌","❌","")</f>
        <v/>
      </c>
      <c r="H94" s="23" t="str" cm="1">
        <f t="array" ref="H94">IF(B94="","",IF(COUNTIF($B$2:$B$501,B94)&gt;1,"No."&amp;_xlfn.TEXTJOIN(", ",TRUE,IF(($B$2:$B$501=B94)*(ROW($B$2:$B$501)&lt;&gt;ROW(B94)),""&amp;$A$2:$A$501,"")),""))</f>
        <v/>
      </c>
      <c r="I94" s="10"/>
    </row>
    <row r="95" spans="1:9" x14ac:dyDescent="0.4">
      <c r="A95" s="3">
        <v>94</v>
      </c>
      <c r="B95" s="3" t="s">
        <v>211</v>
      </c>
      <c r="C95" s="3" t="s">
        <v>262</v>
      </c>
      <c r="D95" s="4" t="s">
        <v>572</v>
      </c>
      <c r="E95" s="3"/>
      <c r="F95" s="8">
        <v>46098</v>
      </c>
      <c r="G95" s="19" t="str">
        <f>IF('단어 시험장'!E95="❌","❌","")</f>
        <v/>
      </c>
      <c r="H95" s="23" t="str" cm="1">
        <f t="array" ref="H95">IF(B95="","",IF(COUNTIF($B$2:$B$501,B95)&gt;1,"No."&amp;_xlfn.TEXTJOIN(", ",TRUE,IF(($B$2:$B$501=B95)*(ROW($B$2:$B$501)&lt;&gt;ROW(B95)),""&amp;$A$2:$A$501,"")),""))</f>
        <v/>
      </c>
      <c r="I95" s="10"/>
    </row>
    <row r="96" spans="1:9" x14ac:dyDescent="0.4">
      <c r="A96" s="3">
        <v>95</v>
      </c>
      <c r="B96" s="3" t="s">
        <v>212</v>
      </c>
      <c r="C96" s="3" t="s">
        <v>263</v>
      </c>
      <c r="D96" s="4" t="s">
        <v>573</v>
      </c>
      <c r="E96" s="3"/>
      <c r="F96" s="8">
        <v>46098</v>
      </c>
      <c r="G96" s="19" t="str">
        <f>IF('단어 시험장'!E96="❌","❌","")</f>
        <v/>
      </c>
      <c r="H96" s="23" t="str" cm="1">
        <f t="array" ref="H96">IF(B96="","",IF(COUNTIF($B$2:$B$501,B96)&gt;1,"No."&amp;_xlfn.TEXTJOIN(", ",TRUE,IF(($B$2:$B$501=B96)*(ROW($B$2:$B$501)&lt;&gt;ROW(B96)),""&amp;$A$2:$A$501,"")),""))</f>
        <v/>
      </c>
      <c r="I96" s="10"/>
    </row>
    <row r="97" spans="1:9" x14ac:dyDescent="0.4">
      <c r="A97" s="3">
        <v>96</v>
      </c>
      <c r="B97" s="3" t="s">
        <v>213</v>
      </c>
      <c r="C97" s="3" t="s">
        <v>264</v>
      </c>
      <c r="D97" s="4" t="s">
        <v>576</v>
      </c>
      <c r="E97" s="3"/>
      <c r="F97" s="8">
        <v>46098</v>
      </c>
      <c r="G97" s="19" t="str">
        <f>IF('단어 시험장'!E97="❌","❌","")</f>
        <v/>
      </c>
      <c r="H97" s="23" t="str" cm="1">
        <f t="array" ref="H97">IF(B97="","",IF(COUNTIF($B$2:$B$501,B97)&gt;1,"No."&amp;_xlfn.TEXTJOIN(", ",TRUE,IF(($B$2:$B$501=B97)*(ROW($B$2:$B$501)&lt;&gt;ROW(B97)),""&amp;$A$2:$A$501,"")),""))</f>
        <v/>
      </c>
      <c r="I97" s="10"/>
    </row>
    <row r="98" spans="1:9" x14ac:dyDescent="0.4">
      <c r="A98" s="3">
        <v>97</v>
      </c>
      <c r="B98" s="3" t="s">
        <v>214</v>
      </c>
      <c r="C98" s="3" t="s">
        <v>265</v>
      </c>
      <c r="D98" s="4" t="s">
        <v>579</v>
      </c>
      <c r="E98" s="3"/>
      <c r="F98" s="8">
        <v>46098</v>
      </c>
      <c r="G98" s="19" t="str">
        <f>IF('단어 시험장'!E98="❌","❌","")</f>
        <v/>
      </c>
      <c r="H98" s="23" t="str" cm="1">
        <f t="array" ref="H98">IF(B98="","",IF(COUNTIF($B$2:$B$501,B98)&gt;1,"No."&amp;_xlfn.TEXTJOIN(", ",TRUE,IF(($B$2:$B$501=B98)*(ROW($B$2:$B$501)&lt;&gt;ROW(B98)),""&amp;$A$2:$A$501,"")),""))</f>
        <v/>
      </c>
      <c r="I98" s="10"/>
    </row>
    <row r="99" spans="1:9" x14ac:dyDescent="0.4">
      <c r="A99" s="3">
        <v>98</v>
      </c>
      <c r="B99" s="3" t="s">
        <v>215</v>
      </c>
      <c r="C99" s="3" t="s">
        <v>266</v>
      </c>
      <c r="D99" s="4" t="s">
        <v>580</v>
      </c>
      <c r="E99" s="3"/>
      <c r="F99" s="8">
        <v>46098</v>
      </c>
      <c r="G99" s="19" t="str">
        <f>IF('단어 시험장'!E99="❌","❌","")</f>
        <v/>
      </c>
      <c r="H99" s="23" t="str" cm="1">
        <f t="array" ref="H99">IF(B99="","",IF(COUNTIF($B$2:$B$501,B99)&gt;1,"No."&amp;_xlfn.TEXTJOIN(", ",TRUE,IF(($B$2:$B$501=B99)*(ROW($B$2:$B$501)&lt;&gt;ROW(B99)),""&amp;$A$2:$A$501,"")),""))</f>
        <v/>
      </c>
      <c r="I99" s="10"/>
    </row>
    <row r="100" spans="1:9" x14ac:dyDescent="0.4">
      <c r="A100" s="3">
        <v>99</v>
      </c>
      <c r="B100" s="3" t="s">
        <v>216</v>
      </c>
      <c r="C100" s="3" t="s">
        <v>267</v>
      </c>
      <c r="D100" s="4" t="s">
        <v>581</v>
      </c>
      <c r="E100" s="3"/>
      <c r="F100" s="8">
        <v>46098</v>
      </c>
      <c r="G100" s="19" t="str">
        <f>IF('단어 시험장'!E100="❌","❌","")</f>
        <v/>
      </c>
      <c r="H100" s="23" t="str" cm="1">
        <f t="array" ref="H100">IF(B100="","",IF(COUNTIF($B$2:$B$501,B100)&gt;1,"No."&amp;_xlfn.TEXTJOIN(", ",TRUE,IF(($B$2:$B$501=B100)*(ROW($B$2:$B$501)&lt;&gt;ROW(B100)),""&amp;$A$2:$A$501,"")),""))</f>
        <v/>
      </c>
      <c r="I100" s="10"/>
    </row>
    <row r="101" spans="1:9" x14ac:dyDescent="0.4">
      <c r="A101" s="3">
        <v>100</v>
      </c>
      <c r="B101" s="3" t="s">
        <v>217</v>
      </c>
      <c r="C101" s="3" t="s">
        <v>268</v>
      </c>
      <c r="D101" s="4" t="s">
        <v>582</v>
      </c>
      <c r="E101" s="3"/>
      <c r="F101" s="8">
        <v>46098</v>
      </c>
      <c r="G101" s="19" t="str">
        <f>IF('단어 시험장'!E101="❌","❌","")</f>
        <v/>
      </c>
      <c r="H101" s="23" t="str" cm="1">
        <f t="array" ref="H101">IF(B101="","",IF(COUNTIF($B$2:$B$501,B101)&gt;1,"No."&amp;_xlfn.TEXTJOIN(", ",TRUE,IF(($B$2:$B$501=B101)*(ROW($B$2:$B$501)&lt;&gt;ROW(B101)),""&amp;$A$2:$A$501,"")),""))</f>
        <v/>
      </c>
      <c r="I101" s="10"/>
    </row>
    <row r="102" spans="1:9" x14ac:dyDescent="0.4">
      <c r="A102" s="3">
        <v>101</v>
      </c>
      <c r="B102" s="3" t="s">
        <v>218</v>
      </c>
      <c r="C102" s="3" t="s">
        <v>269</v>
      </c>
      <c r="D102" s="4" t="s">
        <v>583</v>
      </c>
      <c r="E102" s="3"/>
      <c r="F102" s="8">
        <v>46098</v>
      </c>
      <c r="G102" s="19" t="str">
        <f>IF('단어 시험장'!E102="❌","❌","")</f>
        <v/>
      </c>
      <c r="H102" s="23" t="str" cm="1">
        <f t="array" ref="H102">IF(B102="","",IF(COUNTIF($B$2:$B$501,B102)&gt;1,"No."&amp;_xlfn.TEXTJOIN(", ",TRUE,IF(($B$2:$B$501=B102)*(ROW($B$2:$B$501)&lt;&gt;ROW(B102)),""&amp;$A$2:$A$501,"")),""))</f>
        <v/>
      </c>
      <c r="I102" s="10"/>
    </row>
    <row r="103" spans="1:9" x14ac:dyDescent="0.4">
      <c r="A103" s="3">
        <v>102</v>
      </c>
      <c r="B103" s="3" t="s">
        <v>219</v>
      </c>
      <c r="C103" s="3" t="s">
        <v>270</v>
      </c>
      <c r="D103" s="4" t="s">
        <v>584</v>
      </c>
      <c r="E103" s="3"/>
      <c r="F103" s="8">
        <v>46098</v>
      </c>
      <c r="G103" s="19" t="str">
        <f>IF('단어 시험장'!E103="❌","❌","")</f>
        <v/>
      </c>
      <c r="H103" s="23" t="str" cm="1">
        <f t="array" ref="H103">IF(B103="","",IF(COUNTIF($B$2:$B$501,B103)&gt;1,"No."&amp;_xlfn.TEXTJOIN(", ",TRUE,IF(($B$2:$B$501=B103)*(ROW($B$2:$B$501)&lt;&gt;ROW(B103)),""&amp;$A$2:$A$501,"")),""))</f>
        <v/>
      </c>
      <c r="I103" s="10"/>
    </row>
    <row r="104" spans="1:9" x14ac:dyDescent="0.4">
      <c r="A104" s="3">
        <v>103</v>
      </c>
      <c r="B104" s="3" t="s">
        <v>220</v>
      </c>
      <c r="C104" s="3" t="s">
        <v>271</v>
      </c>
      <c r="D104" s="4" t="s">
        <v>585</v>
      </c>
      <c r="E104" s="3"/>
      <c r="F104" s="8">
        <v>46098</v>
      </c>
      <c r="G104" s="19" t="str">
        <f>IF('단어 시험장'!E104="❌","❌","")</f>
        <v/>
      </c>
      <c r="H104" s="23" t="str" cm="1">
        <f t="array" ref="H104">IF(B104="","",IF(COUNTIF($B$2:$B$501,B104)&gt;1,"No."&amp;_xlfn.TEXTJOIN(", ",TRUE,IF(($B$2:$B$501=B104)*(ROW($B$2:$B$501)&lt;&gt;ROW(B104)),""&amp;$A$2:$A$501,"")),""))</f>
        <v/>
      </c>
      <c r="I104" s="10"/>
    </row>
    <row r="105" spans="1:9" x14ac:dyDescent="0.4">
      <c r="A105" s="3">
        <v>104</v>
      </c>
      <c r="B105" s="3" t="s">
        <v>221</v>
      </c>
      <c r="C105" s="3" t="s">
        <v>272</v>
      </c>
      <c r="D105" s="4" t="s">
        <v>586</v>
      </c>
      <c r="E105" s="3"/>
      <c r="F105" s="8">
        <v>46098</v>
      </c>
      <c r="G105" s="19" t="str">
        <f>IF('단어 시험장'!E105="❌","❌","")</f>
        <v/>
      </c>
      <c r="H105" s="23" t="str" cm="1">
        <f t="array" ref="H105">IF(B105="","",IF(COUNTIF($B$2:$B$501,B105)&gt;1,"No."&amp;_xlfn.TEXTJOIN(", ",TRUE,IF(($B$2:$B$501=B105)*(ROW($B$2:$B$501)&lt;&gt;ROW(B105)),""&amp;$A$2:$A$501,"")),""))</f>
        <v/>
      </c>
      <c r="I105" s="10"/>
    </row>
    <row r="106" spans="1:9" x14ac:dyDescent="0.4">
      <c r="A106" s="3">
        <v>105</v>
      </c>
      <c r="B106" s="3" t="s">
        <v>222</v>
      </c>
      <c r="C106" s="3" t="s">
        <v>273</v>
      </c>
      <c r="D106" s="4" t="s">
        <v>587</v>
      </c>
      <c r="E106" s="3"/>
      <c r="F106" s="8">
        <v>46098</v>
      </c>
      <c r="G106" s="19" t="str">
        <f>IF('단어 시험장'!E106="❌","❌","")</f>
        <v/>
      </c>
      <c r="H106" s="23" t="str" cm="1">
        <f t="array" ref="H106">IF(B106="","",IF(COUNTIF($B$2:$B$501,B106)&gt;1,"No."&amp;_xlfn.TEXTJOIN(", ",TRUE,IF(($B$2:$B$501=B106)*(ROW($B$2:$B$501)&lt;&gt;ROW(B106)),""&amp;$A$2:$A$501,"")),""))</f>
        <v/>
      </c>
      <c r="I106" s="10"/>
    </row>
    <row r="107" spans="1:9" x14ac:dyDescent="0.4">
      <c r="A107" s="3">
        <v>106</v>
      </c>
      <c r="B107" s="3" t="s">
        <v>223</v>
      </c>
      <c r="C107" s="3" t="s">
        <v>274</v>
      </c>
      <c r="D107" s="4" t="s">
        <v>592</v>
      </c>
      <c r="E107" s="3"/>
      <c r="F107" s="8">
        <v>46098</v>
      </c>
      <c r="G107" s="19" t="str">
        <f>IF('단어 시험장'!E107="❌","❌","")</f>
        <v/>
      </c>
      <c r="H107" s="23" t="str" cm="1">
        <f t="array" ref="H107">IF(B107="","",IF(COUNTIF($B$2:$B$501,B107)&gt;1,"No."&amp;_xlfn.TEXTJOIN(", ",TRUE,IF(($B$2:$B$501=B107)*(ROW($B$2:$B$501)&lt;&gt;ROW(B107)),""&amp;$A$2:$A$501,"")),""))</f>
        <v/>
      </c>
      <c r="I107" s="10"/>
    </row>
    <row r="108" spans="1:9" x14ac:dyDescent="0.4">
      <c r="A108" s="3">
        <v>107</v>
      </c>
      <c r="B108" s="3" t="s">
        <v>224</v>
      </c>
      <c r="C108" s="3" t="s">
        <v>275</v>
      </c>
      <c r="D108" s="4" t="s">
        <v>593</v>
      </c>
      <c r="E108" s="3"/>
      <c r="F108" s="8">
        <v>46098</v>
      </c>
      <c r="G108" s="19" t="str">
        <f>IF('단어 시험장'!E108="❌","❌","")</f>
        <v/>
      </c>
      <c r="H108" s="23" t="str" cm="1">
        <f t="array" ref="H108">IF(B108="","",IF(COUNTIF($B$2:$B$501,B108)&gt;1,"No."&amp;_xlfn.TEXTJOIN(", ",TRUE,IF(($B$2:$B$501=B108)*(ROW($B$2:$B$501)&lt;&gt;ROW(B108)),""&amp;$A$2:$A$501,"")),""))</f>
        <v/>
      </c>
      <c r="I108" s="10"/>
    </row>
    <row r="109" spans="1:9" x14ac:dyDescent="0.4">
      <c r="A109" s="3">
        <v>108</v>
      </c>
      <c r="B109" s="3" t="s">
        <v>276</v>
      </c>
      <c r="C109" s="3" t="s">
        <v>277</v>
      </c>
      <c r="D109" s="4" t="s">
        <v>594</v>
      </c>
      <c r="E109" s="3"/>
      <c r="F109" s="8">
        <v>46098</v>
      </c>
      <c r="G109" s="19" t="str">
        <f>IF('단어 시험장'!E109="❌","❌","")</f>
        <v/>
      </c>
      <c r="H109" s="23" t="str" cm="1">
        <f t="array" ref="H109">IF(B109="","",IF(COUNTIF($B$2:$B$501,B109)&gt;1,"No."&amp;_xlfn.TEXTJOIN(", ",TRUE,IF(($B$2:$B$501=B109)*(ROW($B$2:$B$501)&lt;&gt;ROW(B109)),""&amp;$A$2:$A$501,"")),""))</f>
        <v/>
      </c>
      <c r="I109" s="10"/>
    </row>
    <row r="110" spans="1:9" x14ac:dyDescent="0.4">
      <c r="A110" s="3">
        <v>109</v>
      </c>
      <c r="B110" s="3" t="s">
        <v>278</v>
      </c>
      <c r="C110" s="3" t="s">
        <v>327</v>
      </c>
      <c r="D110" s="4" t="s">
        <v>595</v>
      </c>
      <c r="E110" s="3"/>
      <c r="F110" s="8">
        <v>45735</v>
      </c>
      <c r="G110" s="19" t="str">
        <f>IF('단어 시험장'!E110="❌","❌","")</f>
        <v/>
      </c>
      <c r="H110" s="23" t="str" cm="1">
        <f t="array" ref="H110">IF(B110="","",IF(COUNTIF($B$2:$B$501,B110)&gt;1,"No."&amp;_xlfn.TEXTJOIN(", ",TRUE,IF(($B$2:$B$501=B110)*(ROW($B$2:$B$501)&lt;&gt;ROW(B110)),""&amp;$A$2:$A$501,"")),""))</f>
        <v/>
      </c>
      <c r="I110" s="10"/>
    </row>
    <row r="111" spans="1:9" x14ac:dyDescent="0.4">
      <c r="A111" s="3">
        <v>110</v>
      </c>
      <c r="B111" s="3" t="s">
        <v>279</v>
      </c>
      <c r="C111" s="3" t="s">
        <v>328</v>
      </c>
      <c r="D111" s="4" t="s">
        <v>596</v>
      </c>
      <c r="E111" s="3"/>
      <c r="F111" s="8">
        <v>45735</v>
      </c>
      <c r="G111" s="19" t="str">
        <f>IF('단어 시험장'!E111="❌","❌","")</f>
        <v/>
      </c>
      <c r="H111" s="23" t="str" cm="1">
        <f t="array" ref="H111">IF(B111="","",IF(COUNTIF($B$2:$B$501,B111)&gt;1,"No."&amp;_xlfn.TEXTJOIN(", ",TRUE,IF(($B$2:$B$501=B111)*(ROW($B$2:$B$501)&lt;&gt;ROW(B111)),""&amp;$A$2:$A$501,"")),""))</f>
        <v/>
      </c>
      <c r="I111" s="10"/>
    </row>
    <row r="112" spans="1:9" x14ac:dyDescent="0.4">
      <c r="A112" s="3">
        <v>111</v>
      </c>
      <c r="B112" s="3" t="s">
        <v>280</v>
      </c>
      <c r="C112" s="3" t="s">
        <v>329</v>
      </c>
      <c r="D112" s="4" t="s">
        <v>597</v>
      </c>
      <c r="E112" s="3"/>
      <c r="F112" s="8">
        <v>45735</v>
      </c>
      <c r="G112" s="19" t="str">
        <f>IF('단어 시험장'!E112="❌","❌","")</f>
        <v/>
      </c>
      <c r="H112" s="23" t="str" cm="1">
        <f t="array" ref="H112">IF(B112="","",IF(COUNTIF($B$2:$B$501,B112)&gt;1,"No."&amp;_xlfn.TEXTJOIN(", ",TRUE,IF(($B$2:$B$501=B112)*(ROW($B$2:$B$501)&lt;&gt;ROW(B112)),""&amp;$A$2:$A$501,"")),""))</f>
        <v/>
      </c>
      <c r="I112" s="10"/>
    </row>
    <row r="113" spans="1:9" x14ac:dyDescent="0.4">
      <c r="A113" s="3">
        <v>112</v>
      </c>
      <c r="B113" s="3" t="s">
        <v>281</v>
      </c>
      <c r="C113" s="3" t="s">
        <v>330</v>
      </c>
      <c r="D113" s="4" t="s">
        <v>598</v>
      </c>
      <c r="E113" s="3"/>
      <c r="F113" s="8">
        <v>45735</v>
      </c>
      <c r="G113" s="19" t="str">
        <f>IF('단어 시험장'!E113="❌","❌","")</f>
        <v/>
      </c>
      <c r="H113" s="23" t="str" cm="1">
        <f t="array" ref="H113">IF(B113="","",IF(COUNTIF($B$2:$B$501,B113)&gt;1,"No."&amp;_xlfn.TEXTJOIN(", ",TRUE,IF(($B$2:$B$501=B113)*(ROW($B$2:$B$501)&lt;&gt;ROW(B113)),""&amp;$A$2:$A$501,"")),""))</f>
        <v/>
      </c>
      <c r="I113" s="10"/>
    </row>
    <row r="114" spans="1:9" x14ac:dyDescent="0.4">
      <c r="A114" s="3">
        <v>113</v>
      </c>
      <c r="B114" s="3" t="s">
        <v>282</v>
      </c>
      <c r="C114" s="3" t="s">
        <v>331</v>
      </c>
      <c r="D114" s="4" t="s">
        <v>599</v>
      </c>
      <c r="E114" s="3"/>
      <c r="F114" s="8">
        <v>45735</v>
      </c>
      <c r="G114" s="19" t="str">
        <f>IF('단어 시험장'!E114="❌","❌","")</f>
        <v/>
      </c>
      <c r="H114" s="23" t="str" cm="1">
        <f t="array" ref="H114">IF(B114="","",IF(COUNTIF($B$2:$B$501,B114)&gt;1,"No."&amp;_xlfn.TEXTJOIN(", ",TRUE,IF(($B$2:$B$501=B114)*(ROW($B$2:$B$501)&lt;&gt;ROW(B114)),""&amp;$A$2:$A$501,"")),""))</f>
        <v/>
      </c>
      <c r="I114" s="10"/>
    </row>
    <row r="115" spans="1:9" x14ac:dyDescent="0.4">
      <c r="A115" s="3">
        <v>114</v>
      </c>
      <c r="B115" s="3" t="s">
        <v>12</v>
      </c>
      <c r="C115" s="3" t="s">
        <v>66</v>
      </c>
      <c r="D115" s="4" t="s">
        <v>600</v>
      </c>
      <c r="E115" s="3"/>
      <c r="F115" s="8">
        <v>45735</v>
      </c>
      <c r="G115" s="19" t="str">
        <f>IF('단어 시험장'!E115="❌","❌","")</f>
        <v/>
      </c>
      <c r="H115" s="23" t="str" cm="1">
        <f t="array" ref="H115">IF(B115="","",IF(COUNTIF($B$2:$B$501,B115)&gt;1,"No."&amp;_xlfn.TEXTJOIN(", ",TRUE,IF(($B$2:$B$501=B115)*(ROW($B$2:$B$501)&lt;&gt;ROW(B115)),""&amp;$A$2:$A$501,"")),""))</f>
        <v>No.7</v>
      </c>
      <c r="I115" s="10"/>
    </row>
    <row r="116" spans="1:9" x14ac:dyDescent="0.4">
      <c r="A116" s="3">
        <v>115</v>
      </c>
      <c r="B116" s="3" t="s">
        <v>283</v>
      </c>
      <c r="C116" s="3" t="s">
        <v>332</v>
      </c>
      <c r="D116" s="4" t="s">
        <v>601</v>
      </c>
      <c r="E116" s="3"/>
      <c r="F116" s="8">
        <v>45735</v>
      </c>
      <c r="G116" s="19" t="str">
        <f>IF('단어 시험장'!E116="❌","❌","")</f>
        <v/>
      </c>
      <c r="H116" s="23" t="str" cm="1">
        <f t="array" ref="H116">IF(B116="","",IF(COUNTIF($B$2:$B$501,B116)&gt;1,"No."&amp;_xlfn.TEXTJOIN(", ",TRUE,IF(($B$2:$B$501=B116)*(ROW($B$2:$B$501)&lt;&gt;ROW(B116)),""&amp;$A$2:$A$501,"")),""))</f>
        <v/>
      </c>
      <c r="I116" s="10"/>
    </row>
    <row r="117" spans="1:9" x14ac:dyDescent="0.4">
      <c r="A117" s="3">
        <v>116</v>
      </c>
      <c r="B117" s="3" t="s">
        <v>284</v>
      </c>
      <c r="C117" s="3" t="s">
        <v>333</v>
      </c>
      <c r="D117" s="4" t="s">
        <v>602</v>
      </c>
      <c r="E117" s="3"/>
      <c r="F117" s="8">
        <v>45735</v>
      </c>
      <c r="G117" s="19" t="str">
        <f>IF('단어 시험장'!E117="❌","❌","")</f>
        <v/>
      </c>
      <c r="H117" s="23" t="str" cm="1">
        <f t="array" ref="H117">IF(B117="","",IF(COUNTIF($B$2:$B$501,B117)&gt;1,"No."&amp;_xlfn.TEXTJOIN(", ",TRUE,IF(($B$2:$B$501=B117)*(ROW($B$2:$B$501)&lt;&gt;ROW(B117)),""&amp;$A$2:$A$501,"")),""))</f>
        <v/>
      </c>
      <c r="I117" s="10"/>
    </row>
    <row r="118" spans="1:9" x14ac:dyDescent="0.4">
      <c r="A118" s="3">
        <v>117</v>
      </c>
      <c r="B118" s="3" t="s">
        <v>285</v>
      </c>
      <c r="C118" s="3" t="s">
        <v>334</v>
      </c>
      <c r="D118" s="4" t="s">
        <v>603</v>
      </c>
      <c r="E118" s="3"/>
      <c r="F118" s="8">
        <v>45735</v>
      </c>
      <c r="G118" s="19" t="str">
        <f>IF('단어 시험장'!E118="❌","❌","")</f>
        <v/>
      </c>
      <c r="H118" s="23" t="str" cm="1">
        <f t="array" ref="H118">IF(B118="","",IF(COUNTIF($B$2:$B$501,B118)&gt;1,"No."&amp;_xlfn.TEXTJOIN(", ",TRUE,IF(($B$2:$B$501=B118)*(ROW($B$2:$B$501)&lt;&gt;ROW(B118)),""&amp;$A$2:$A$501,"")),""))</f>
        <v/>
      </c>
      <c r="I118" s="10"/>
    </row>
    <row r="119" spans="1:9" x14ac:dyDescent="0.4">
      <c r="A119" s="3">
        <v>118</v>
      </c>
      <c r="B119" s="3" t="s">
        <v>286</v>
      </c>
      <c r="C119" s="3" t="s">
        <v>335</v>
      </c>
      <c r="D119" s="4" t="s">
        <v>604</v>
      </c>
      <c r="E119" s="3"/>
      <c r="F119" s="8">
        <v>45735</v>
      </c>
      <c r="G119" s="19" t="str">
        <f>IF('단어 시험장'!E119="❌","❌","")</f>
        <v/>
      </c>
      <c r="H119" s="23" t="str" cm="1">
        <f t="array" ref="H119">IF(B119="","",IF(COUNTIF($B$2:$B$501,B119)&gt;1,"No."&amp;_xlfn.TEXTJOIN(", ",TRUE,IF(($B$2:$B$501=B119)*(ROW($B$2:$B$501)&lt;&gt;ROW(B119)),""&amp;$A$2:$A$501,"")),""))</f>
        <v/>
      </c>
      <c r="I119" s="10"/>
    </row>
    <row r="120" spans="1:9" x14ac:dyDescent="0.4">
      <c r="A120" s="3">
        <v>119</v>
      </c>
      <c r="B120" s="3" t="s">
        <v>287</v>
      </c>
      <c r="C120" s="3" t="s">
        <v>336</v>
      </c>
      <c r="D120" s="4" t="s">
        <v>605</v>
      </c>
      <c r="E120" s="3"/>
      <c r="F120" s="8">
        <v>45735</v>
      </c>
      <c r="G120" s="19" t="str">
        <f>IF('단어 시험장'!E120="❌","❌","")</f>
        <v/>
      </c>
      <c r="H120" s="23" t="str" cm="1">
        <f t="array" ref="H120">IF(B120="","",IF(COUNTIF($B$2:$B$501,B120)&gt;1,"No."&amp;_xlfn.TEXTJOIN(", ",TRUE,IF(($B$2:$B$501=B120)*(ROW($B$2:$B$501)&lt;&gt;ROW(B120)),""&amp;$A$2:$A$501,"")),""))</f>
        <v/>
      </c>
      <c r="I120" s="10"/>
    </row>
    <row r="121" spans="1:9" x14ac:dyDescent="0.4">
      <c r="A121" s="3">
        <v>120</v>
      </c>
      <c r="B121" s="3" t="s">
        <v>288</v>
      </c>
      <c r="C121" s="3" t="s">
        <v>337</v>
      </c>
      <c r="D121" s="4" t="s">
        <v>606</v>
      </c>
      <c r="E121" s="3"/>
      <c r="F121" s="8">
        <v>45735</v>
      </c>
      <c r="G121" s="19" t="str">
        <f>IF('단어 시험장'!E121="❌","❌","")</f>
        <v/>
      </c>
      <c r="H121" s="23" t="str" cm="1">
        <f t="array" ref="H121">IF(B121="","",IF(COUNTIF($B$2:$B$501,B121)&gt;1,"No."&amp;_xlfn.TEXTJOIN(", ",TRUE,IF(($B$2:$B$501=B121)*(ROW($B$2:$B$501)&lt;&gt;ROW(B121)),""&amp;$A$2:$A$501,"")),""))</f>
        <v/>
      </c>
      <c r="I121" s="10"/>
    </row>
    <row r="122" spans="1:9" x14ac:dyDescent="0.4">
      <c r="A122" s="3">
        <v>121</v>
      </c>
      <c r="B122" s="3" t="s">
        <v>289</v>
      </c>
      <c r="C122" s="3" t="s">
        <v>338</v>
      </c>
      <c r="D122" s="4" t="s">
        <v>607</v>
      </c>
      <c r="E122" s="3"/>
      <c r="F122" s="8">
        <v>45735</v>
      </c>
      <c r="G122" s="19" t="str">
        <f>IF('단어 시험장'!E122="❌","❌","")</f>
        <v/>
      </c>
      <c r="H122" s="23" t="str" cm="1">
        <f t="array" ref="H122">IF(B122="","",IF(COUNTIF($B$2:$B$501,B122)&gt;1,"No."&amp;_xlfn.TEXTJOIN(", ",TRUE,IF(($B$2:$B$501=B122)*(ROW($B$2:$B$501)&lt;&gt;ROW(B122)),""&amp;$A$2:$A$501,"")),""))</f>
        <v/>
      </c>
      <c r="I122" s="10"/>
    </row>
    <row r="123" spans="1:9" x14ac:dyDescent="0.4">
      <c r="A123" s="3">
        <v>122</v>
      </c>
      <c r="B123" s="3" t="s">
        <v>290</v>
      </c>
      <c r="C123" s="3" t="s">
        <v>339</v>
      </c>
      <c r="D123" s="4" t="s">
        <v>608</v>
      </c>
      <c r="E123" s="3"/>
      <c r="F123" s="8">
        <v>45735</v>
      </c>
      <c r="G123" s="19" t="str">
        <f>IF('단어 시험장'!E123="❌","❌","")</f>
        <v/>
      </c>
      <c r="H123" s="23" t="str" cm="1">
        <f t="array" ref="H123">IF(B123="","",IF(COUNTIF($B$2:$B$501,B123)&gt;1,"No."&amp;_xlfn.TEXTJOIN(", ",TRUE,IF(($B$2:$B$501=B123)*(ROW($B$2:$B$501)&lt;&gt;ROW(B123)),""&amp;$A$2:$A$501,"")),""))</f>
        <v/>
      </c>
      <c r="I123" s="10"/>
    </row>
    <row r="124" spans="1:9" x14ac:dyDescent="0.4">
      <c r="A124" s="3">
        <v>123</v>
      </c>
      <c r="B124" s="3" t="s">
        <v>291</v>
      </c>
      <c r="C124" s="3" t="s">
        <v>340</v>
      </c>
      <c r="D124" s="4" t="s">
        <v>609</v>
      </c>
      <c r="E124" s="3"/>
      <c r="F124" s="8">
        <v>45735</v>
      </c>
      <c r="G124" s="19" t="str">
        <f>IF('단어 시험장'!E124="❌","❌","")</f>
        <v/>
      </c>
      <c r="H124" s="23" t="str" cm="1">
        <f t="array" ref="H124">IF(B124="","",IF(COUNTIF($B$2:$B$501,B124)&gt;1,"No."&amp;_xlfn.TEXTJOIN(", ",TRUE,IF(($B$2:$B$501=B124)*(ROW($B$2:$B$501)&lt;&gt;ROW(B124)),""&amp;$A$2:$A$501,"")),""))</f>
        <v>No.364</v>
      </c>
      <c r="I124" s="10"/>
    </row>
    <row r="125" spans="1:9" x14ac:dyDescent="0.4">
      <c r="A125" s="3">
        <v>124</v>
      </c>
      <c r="B125" s="3" t="s">
        <v>292</v>
      </c>
      <c r="C125" s="3" t="s">
        <v>341</v>
      </c>
      <c r="D125" s="4" t="s">
        <v>610</v>
      </c>
      <c r="E125" s="3"/>
      <c r="F125" s="8">
        <v>45735</v>
      </c>
      <c r="G125" s="19" t="str">
        <f>IF('단어 시험장'!E125="❌","❌","")</f>
        <v/>
      </c>
      <c r="H125" s="23" t="str" cm="1">
        <f t="array" ref="H125">IF(B125="","",IF(COUNTIF($B$2:$B$501,B125)&gt;1,"No."&amp;_xlfn.TEXTJOIN(", ",TRUE,IF(($B$2:$B$501=B125)*(ROW($B$2:$B$501)&lt;&gt;ROW(B125)),""&amp;$A$2:$A$501,"")),""))</f>
        <v/>
      </c>
      <c r="I125" s="10"/>
    </row>
    <row r="126" spans="1:9" x14ac:dyDescent="0.4">
      <c r="A126" s="3">
        <v>125</v>
      </c>
      <c r="B126" s="3" t="s">
        <v>293</v>
      </c>
      <c r="C126" s="3" t="s">
        <v>342</v>
      </c>
      <c r="D126" s="4" t="s">
        <v>611</v>
      </c>
      <c r="E126" s="3"/>
      <c r="F126" s="8">
        <v>45735</v>
      </c>
      <c r="G126" s="19" t="str">
        <f>IF('단어 시험장'!E126="❌","❌","")</f>
        <v/>
      </c>
      <c r="H126" s="23" t="str" cm="1">
        <f t="array" ref="H126">IF(B126="","",IF(COUNTIF($B$2:$B$501,B126)&gt;1,"No."&amp;_xlfn.TEXTJOIN(", ",TRUE,IF(($B$2:$B$501=B126)*(ROW($B$2:$B$501)&lt;&gt;ROW(B126)),""&amp;$A$2:$A$501,"")),""))</f>
        <v/>
      </c>
      <c r="I126" s="10"/>
    </row>
    <row r="127" spans="1:9" x14ac:dyDescent="0.4">
      <c r="A127" s="3">
        <v>126</v>
      </c>
      <c r="B127" s="3" t="s">
        <v>294</v>
      </c>
      <c r="C127" s="3" t="s">
        <v>343</v>
      </c>
      <c r="D127" s="4" t="s">
        <v>612</v>
      </c>
      <c r="E127" s="3"/>
      <c r="F127" s="8">
        <v>45735</v>
      </c>
      <c r="G127" s="19" t="str">
        <f>IF('단어 시험장'!E127="❌","❌","")</f>
        <v/>
      </c>
      <c r="H127" s="23" t="str" cm="1">
        <f t="array" ref="H127">IF(B127="","",IF(COUNTIF($B$2:$B$501,B127)&gt;1,"No."&amp;_xlfn.TEXTJOIN(", ",TRUE,IF(($B$2:$B$501=B127)*(ROW($B$2:$B$501)&lt;&gt;ROW(B127)),""&amp;$A$2:$A$501,"")),""))</f>
        <v/>
      </c>
      <c r="I127" s="10"/>
    </row>
    <row r="128" spans="1:9" x14ac:dyDescent="0.4">
      <c r="A128" s="3">
        <v>127</v>
      </c>
      <c r="B128" s="3" t="s">
        <v>295</v>
      </c>
      <c r="C128" s="3" t="s">
        <v>270</v>
      </c>
      <c r="D128" s="4" t="s">
        <v>613</v>
      </c>
      <c r="E128" s="3"/>
      <c r="F128" s="8">
        <v>45735</v>
      </c>
      <c r="G128" s="19" t="str">
        <f>IF('단어 시험장'!E128="❌","❌","")</f>
        <v/>
      </c>
      <c r="H128" s="23" t="str" cm="1">
        <f t="array" ref="H128">IF(B128="","",IF(COUNTIF($B$2:$B$501,B128)&gt;1,"No."&amp;_xlfn.TEXTJOIN(", ",TRUE,IF(($B$2:$B$501=B128)*(ROW($B$2:$B$501)&lt;&gt;ROW(B128)),""&amp;$A$2:$A$501,"")),""))</f>
        <v/>
      </c>
      <c r="I128" s="10"/>
    </row>
    <row r="129" spans="1:9" x14ac:dyDescent="0.4">
      <c r="A129" s="3">
        <v>128</v>
      </c>
      <c r="B129" s="3" t="s">
        <v>296</v>
      </c>
      <c r="C129" s="3" t="s">
        <v>344</v>
      </c>
      <c r="D129" s="4" t="s">
        <v>614</v>
      </c>
      <c r="E129" s="3"/>
      <c r="F129" s="8">
        <v>45735</v>
      </c>
      <c r="G129" s="19" t="str">
        <f>IF('단어 시험장'!E129="❌","❌","")</f>
        <v/>
      </c>
      <c r="H129" s="23" t="str" cm="1">
        <f t="array" ref="H129">IF(B129="","",IF(COUNTIF($B$2:$B$501,B129)&gt;1,"No."&amp;_xlfn.TEXTJOIN(", ",TRUE,IF(($B$2:$B$501=B129)*(ROW($B$2:$B$501)&lt;&gt;ROW(B129)),""&amp;$A$2:$A$501,"")),""))</f>
        <v/>
      </c>
      <c r="I129" s="10"/>
    </row>
    <row r="130" spans="1:9" x14ac:dyDescent="0.4">
      <c r="A130" s="3">
        <v>129</v>
      </c>
      <c r="B130" s="3" t="s">
        <v>297</v>
      </c>
      <c r="C130" s="3" t="s">
        <v>345</v>
      </c>
      <c r="D130" s="4" t="s">
        <v>617</v>
      </c>
      <c r="E130" s="3"/>
      <c r="F130" s="8">
        <v>45735</v>
      </c>
      <c r="G130" s="19" t="str">
        <f>IF('단어 시험장'!E130="❌","❌","")</f>
        <v/>
      </c>
      <c r="H130" s="23" t="str" cm="1">
        <f t="array" ref="H130">IF(B130="","",IF(COUNTIF($B$2:$B$501,B130)&gt;1,"No."&amp;_xlfn.TEXTJOIN(", ",TRUE,IF(($B$2:$B$501=B130)*(ROW($B$2:$B$501)&lt;&gt;ROW(B130)),""&amp;$A$2:$A$501,"")),""))</f>
        <v/>
      </c>
      <c r="I130" s="10"/>
    </row>
    <row r="131" spans="1:9" x14ac:dyDescent="0.4">
      <c r="A131" s="3">
        <v>130</v>
      </c>
      <c r="B131" s="3" t="s">
        <v>298</v>
      </c>
      <c r="C131" s="3" t="s">
        <v>346</v>
      </c>
      <c r="D131" s="4" t="s">
        <v>620</v>
      </c>
      <c r="E131" s="3"/>
      <c r="F131" s="8">
        <v>45735</v>
      </c>
      <c r="G131" s="19" t="str">
        <f>IF('단어 시험장'!E131="❌","❌","")</f>
        <v/>
      </c>
      <c r="H131" s="23" t="str" cm="1">
        <f t="array" ref="H131">IF(B131="","",IF(COUNTIF($B$2:$B$501,B131)&gt;1,"No."&amp;_xlfn.TEXTJOIN(", ",TRUE,IF(($B$2:$B$501=B131)*(ROW($B$2:$B$501)&lt;&gt;ROW(B131)),""&amp;$A$2:$A$501,"")),""))</f>
        <v/>
      </c>
      <c r="I131" s="10"/>
    </row>
    <row r="132" spans="1:9" x14ac:dyDescent="0.4">
      <c r="A132" s="3">
        <v>131</v>
      </c>
      <c r="B132" s="3" t="s">
        <v>299</v>
      </c>
      <c r="C132" s="3" t="s">
        <v>347</v>
      </c>
      <c r="D132" s="4" t="s">
        <v>621</v>
      </c>
      <c r="E132" s="3"/>
      <c r="F132" s="8">
        <v>45735</v>
      </c>
      <c r="G132" s="19" t="str">
        <f>IF('단어 시험장'!E132="❌","❌","")</f>
        <v/>
      </c>
      <c r="H132" s="23" t="str" cm="1">
        <f t="array" ref="H132">IF(B132="","",IF(COUNTIF($B$2:$B$501,B132)&gt;1,"No."&amp;_xlfn.TEXTJOIN(", ",TRUE,IF(($B$2:$B$501=B132)*(ROW($B$2:$B$501)&lt;&gt;ROW(B132)),""&amp;$A$2:$A$501,"")),""))</f>
        <v/>
      </c>
      <c r="I132" s="10"/>
    </row>
    <row r="133" spans="1:9" x14ac:dyDescent="0.4">
      <c r="A133" s="3">
        <v>132</v>
      </c>
      <c r="B133" s="3" t="s">
        <v>300</v>
      </c>
      <c r="C133" s="3" t="s">
        <v>301</v>
      </c>
      <c r="D133" s="4" t="s">
        <v>622</v>
      </c>
      <c r="E133" s="3"/>
      <c r="F133" s="8">
        <v>45735</v>
      </c>
      <c r="G133" s="19" t="str">
        <f>IF('단어 시험장'!E133="❌","❌","")</f>
        <v/>
      </c>
      <c r="H133" s="23" t="str" cm="1">
        <f t="array" ref="H133">IF(B133="","",IF(COUNTIF($B$2:$B$501,B133)&gt;1,"No."&amp;_xlfn.TEXTJOIN(", ",TRUE,IF(($B$2:$B$501=B133)*(ROW($B$2:$B$501)&lt;&gt;ROW(B133)),""&amp;$A$2:$A$501,"")),""))</f>
        <v/>
      </c>
      <c r="I133" s="10"/>
    </row>
    <row r="134" spans="1:9" x14ac:dyDescent="0.4">
      <c r="A134" s="3">
        <v>133</v>
      </c>
      <c r="B134" s="3" t="s">
        <v>302</v>
      </c>
      <c r="C134" s="3" t="s">
        <v>348</v>
      </c>
      <c r="D134" s="4" t="s">
        <v>625</v>
      </c>
      <c r="E134" s="3"/>
      <c r="F134" s="8">
        <v>45735</v>
      </c>
      <c r="G134" s="19" t="str">
        <f>IF('단어 시험장'!E134="❌","❌","")</f>
        <v/>
      </c>
      <c r="H134" s="23" t="str" cm="1">
        <f t="array" ref="H134">IF(B134="","",IF(COUNTIF($B$2:$B$501,B134)&gt;1,"No."&amp;_xlfn.TEXTJOIN(", ",TRUE,IF(($B$2:$B$501=B134)*(ROW($B$2:$B$501)&lt;&gt;ROW(B134)),""&amp;$A$2:$A$501,"")),""))</f>
        <v/>
      </c>
      <c r="I134" s="10"/>
    </row>
    <row r="135" spans="1:9" x14ac:dyDescent="0.4">
      <c r="A135" s="3">
        <v>134</v>
      </c>
      <c r="B135" s="3" t="s">
        <v>303</v>
      </c>
      <c r="C135" s="3" t="s">
        <v>349</v>
      </c>
      <c r="D135" s="4" t="s">
        <v>626</v>
      </c>
      <c r="E135" s="3"/>
      <c r="F135" s="8">
        <v>45735</v>
      </c>
      <c r="G135" s="19" t="str">
        <f>IF('단어 시험장'!E135="❌","❌","")</f>
        <v/>
      </c>
      <c r="H135" s="23" t="str" cm="1">
        <f t="array" ref="H135">IF(B135="","",IF(COUNTIF($B$2:$B$501,B135)&gt;1,"No."&amp;_xlfn.TEXTJOIN(", ",TRUE,IF(($B$2:$B$501=B135)*(ROW($B$2:$B$501)&lt;&gt;ROW(B135)),""&amp;$A$2:$A$501,"")),""))</f>
        <v/>
      </c>
      <c r="I135" s="10"/>
    </row>
    <row r="136" spans="1:9" x14ac:dyDescent="0.4">
      <c r="A136" s="3">
        <v>135</v>
      </c>
      <c r="B136" s="3" t="s">
        <v>304</v>
      </c>
      <c r="C136" s="3" t="s">
        <v>350</v>
      </c>
      <c r="D136" s="4" t="s">
        <v>627</v>
      </c>
      <c r="E136" s="3"/>
      <c r="F136" s="8">
        <v>45735</v>
      </c>
      <c r="G136" s="19" t="str">
        <f>IF('단어 시험장'!E136="❌","❌","")</f>
        <v/>
      </c>
      <c r="H136" s="23" t="str" cm="1">
        <f t="array" ref="H136">IF(B136="","",IF(COUNTIF($B$2:$B$501,B136)&gt;1,"No."&amp;_xlfn.TEXTJOIN(", ",TRUE,IF(($B$2:$B$501=B136)*(ROW($B$2:$B$501)&lt;&gt;ROW(B136)),""&amp;$A$2:$A$501,"")),""))</f>
        <v/>
      </c>
      <c r="I136" s="10"/>
    </row>
    <row r="137" spans="1:9" x14ac:dyDescent="0.4">
      <c r="A137" s="3">
        <v>136</v>
      </c>
      <c r="B137" s="3" t="s">
        <v>305</v>
      </c>
      <c r="C137" s="3" t="s">
        <v>351</v>
      </c>
      <c r="D137" s="4" t="s">
        <v>630</v>
      </c>
      <c r="E137" s="3"/>
      <c r="F137" s="8">
        <v>45735</v>
      </c>
      <c r="G137" s="19" t="str">
        <f>IF('단어 시험장'!E137="❌","❌","")</f>
        <v/>
      </c>
      <c r="H137" s="23" t="str" cm="1">
        <f t="array" ref="H137">IF(B137="","",IF(COUNTIF($B$2:$B$501,B137)&gt;1,"No."&amp;_xlfn.TEXTJOIN(", ",TRUE,IF(($B$2:$B$501=B137)*(ROW($B$2:$B$501)&lt;&gt;ROW(B137)),""&amp;$A$2:$A$501,"")),""))</f>
        <v/>
      </c>
      <c r="I137" s="10"/>
    </row>
    <row r="138" spans="1:9" x14ac:dyDescent="0.4">
      <c r="A138" s="3">
        <v>137</v>
      </c>
      <c r="B138" s="3" t="s">
        <v>306</v>
      </c>
      <c r="C138" s="3" t="s">
        <v>352</v>
      </c>
      <c r="D138" s="4" t="s">
        <v>631</v>
      </c>
      <c r="E138" s="3"/>
      <c r="F138" s="8">
        <v>45735</v>
      </c>
      <c r="G138" s="19" t="str">
        <f>IF('단어 시험장'!E138="❌","❌","")</f>
        <v/>
      </c>
      <c r="H138" s="23" t="str" cm="1">
        <f t="array" ref="H138">IF(B138="","",IF(COUNTIF($B$2:$B$501,B138)&gt;1,"No."&amp;_xlfn.TEXTJOIN(", ",TRUE,IF(($B$2:$B$501=B138)*(ROW($B$2:$B$501)&lt;&gt;ROW(B138)),""&amp;$A$2:$A$501,"")),""))</f>
        <v/>
      </c>
      <c r="I138" s="10"/>
    </row>
    <row r="139" spans="1:9" x14ac:dyDescent="0.4">
      <c r="A139" s="3">
        <v>138</v>
      </c>
      <c r="B139" s="3" t="s">
        <v>307</v>
      </c>
      <c r="C139" s="3" t="s">
        <v>353</v>
      </c>
      <c r="D139" s="4" t="s">
        <v>632</v>
      </c>
      <c r="E139" s="3"/>
      <c r="F139" s="8">
        <v>45735</v>
      </c>
      <c r="G139" s="19" t="str">
        <f>IF('단어 시험장'!E139="❌","❌","")</f>
        <v/>
      </c>
      <c r="H139" s="23" t="str" cm="1">
        <f t="array" ref="H139">IF(B139="","",IF(COUNTIF($B$2:$B$501,B139)&gt;1,"No."&amp;_xlfn.TEXTJOIN(", ",TRUE,IF(($B$2:$B$501=B139)*(ROW($B$2:$B$501)&lt;&gt;ROW(B139)),""&amp;$A$2:$A$501,"")),""))</f>
        <v/>
      </c>
      <c r="I139" s="10"/>
    </row>
    <row r="140" spans="1:9" x14ac:dyDescent="0.4">
      <c r="A140" s="3">
        <v>139</v>
      </c>
      <c r="B140" s="3" t="s">
        <v>308</v>
      </c>
      <c r="C140" s="3" t="s">
        <v>354</v>
      </c>
      <c r="D140" s="4" t="s">
        <v>633</v>
      </c>
      <c r="E140" s="3"/>
      <c r="F140" s="8">
        <v>45735</v>
      </c>
      <c r="G140" s="19" t="str">
        <f>IF('단어 시험장'!E140="❌","❌","")</f>
        <v/>
      </c>
      <c r="H140" s="23" t="str" cm="1">
        <f t="array" ref="H140">IF(B140="","",IF(COUNTIF($B$2:$B$501,B140)&gt;1,"No."&amp;_xlfn.TEXTJOIN(", ",TRUE,IF(($B$2:$B$501=B140)*(ROW($B$2:$B$501)&lt;&gt;ROW(B140)),""&amp;$A$2:$A$501,"")),""))</f>
        <v/>
      </c>
      <c r="I140" s="10"/>
    </row>
    <row r="141" spans="1:9" x14ac:dyDescent="0.4">
      <c r="A141" s="3">
        <v>140</v>
      </c>
      <c r="B141" s="3" t="s">
        <v>309</v>
      </c>
      <c r="C141" s="3" t="s">
        <v>355</v>
      </c>
      <c r="D141" s="4" t="s">
        <v>634</v>
      </c>
      <c r="E141" s="3"/>
      <c r="F141" s="8">
        <v>45735</v>
      </c>
      <c r="G141" s="19" t="str">
        <f>IF('단어 시험장'!E141="❌","❌","")</f>
        <v/>
      </c>
      <c r="H141" s="23" t="str" cm="1">
        <f t="array" ref="H141">IF(B141="","",IF(COUNTIF($B$2:$B$501,B141)&gt;1,"No."&amp;_xlfn.TEXTJOIN(", ",TRUE,IF(($B$2:$B$501=B141)*(ROW($B$2:$B$501)&lt;&gt;ROW(B141)),""&amp;$A$2:$A$501,"")),""))</f>
        <v>No.298</v>
      </c>
      <c r="I141" s="10"/>
    </row>
    <row r="142" spans="1:9" x14ac:dyDescent="0.4">
      <c r="A142" s="3">
        <v>141</v>
      </c>
      <c r="B142" s="3" t="s">
        <v>310</v>
      </c>
      <c r="C142" s="3" t="s">
        <v>356</v>
      </c>
      <c r="D142" s="4" t="s">
        <v>635</v>
      </c>
      <c r="E142" s="3"/>
      <c r="F142" s="8">
        <v>45735</v>
      </c>
      <c r="G142" s="19" t="str">
        <f>IF('단어 시험장'!E142="❌","❌","")</f>
        <v/>
      </c>
      <c r="H142" s="23" t="str" cm="1">
        <f t="array" ref="H142">IF(B142="","",IF(COUNTIF($B$2:$B$501,B142)&gt;1,"No."&amp;_xlfn.TEXTJOIN(", ",TRUE,IF(($B$2:$B$501=B142)*(ROW($B$2:$B$501)&lt;&gt;ROW(B142)),""&amp;$A$2:$A$501,"")),""))</f>
        <v/>
      </c>
      <c r="I142" s="10"/>
    </row>
    <row r="143" spans="1:9" x14ac:dyDescent="0.4">
      <c r="A143" s="3">
        <v>142</v>
      </c>
      <c r="B143" s="3" t="s">
        <v>311</v>
      </c>
      <c r="C143" s="3" t="s">
        <v>357</v>
      </c>
      <c r="D143" s="4" t="s">
        <v>636</v>
      </c>
      <c r="E143" s="3"/>
      <c r="F143" s="8">
        <v>45735</v>
      </c>
      <c r="G143" s="19" t="str">
        <f>IF('단어 시험장'!E143="❌","❌","")</f>
        <v/>
      </c>
      <c r="H143" s="23" t="str" cm="1">
        <f t="array" ref="H143">IF(B143="","",IF(COUNTIF($B$2:$B$501,B143)&gt;1,"No."&amp;_xlfn.TEXTJOIN(", ",TRUE,IF(($B$2:$B$501=B143)*(ROW($B$2:$B$501)&lt;&gt;ROW(B143)),""&amp;$A$2:$A$501,"")),""))</f>
        <v/>
      </c>
      <c r="I143" s="10"/>
    </row>
    <row r="144" spans="1:9" x14ac:dyDescent="0.4">
      <c r="A144" s="3">
        <v>143</v>
      </c>
      <c r="B144" s="3" t="s">
        <v>312</v>
      </c>
      <c r="C144" s="3" t="s">
        <v>358</v>
      </c>
      <c r="D144" s="4" t="s">
        <v>637</v>
      </c>
      <c r="E144" s="3"/>
      <c r="F144" s="8">
        <v>45735</v>
      </c>
      <c r="G144" s="19" t="str">
        <f>IF('단어 시험장'!E144="❌","❌","")</f>
        <v/>
      </c>
      <c r="H144" s="23" t="str" cm="1">
        <f t="array" ref="H144">IF(B144="","",IF(COUNTIF($B$2:$B$501,B144)&gt;1,"No."&amp;_xlfn.TEXTJOIN(", ",TRUE,IF(($B$2:$B$501=B144)*(ROW($B$2:$B$501)&lt;&gt;ROW(B144)),""&amp;$A$2:$A$501,"")),""))</f>
        <v/>
      </c>
      <c r="I144" s="10"/>
    </row>
    <row r="145" spans="1:9" x14ac:dyDescent="0.4">
      <c r="A145" s="3">
        <v>144</v>
      </c>
      <c r="B145" s="3" t="s">
        <v>313</v>
      </c>
      <c r="C145" s="3" t="s">
        <v>359</v>
      </c>
      <c r="D145" s="4" t="s">
        <v>640</v>
      </c>
      <c r="E145" s="3"/>
      <c r="F145" s="8">
        <v>45735</v>
      </c>
      <c r="G145" s="19" t="str">
        <f>IF('단어 시험장'!E145="❌","❌","")</f>
        <v/>
      </c>
      <c r="H145" s="23" t="str" cm="1">
        <f t="array" ref="H145">IF(B145="","",IF(COUNTIF($B$2:$B$501,B145)&gt;1,"No."&amp;_xlfn.TEXTJOIN(", ",TRUE,IF(($B$2:$B$501=B145)*(ROW($B$2:$B$501)&lt;&gt;ROW(B145)),""&amp;$A$2:$A$501,"")),""))</f>
        <v/>
      </c>
      <c r="I145" s="10"/>
    </row>
    <row r="146" spans="1:9" x14ac:dyDescent="0.4">
      <c r="A146" s="3">
        <v>145</v>
      </c>
      <c r="B146" s="3" t="s">
        <v>314</v>
      </c>
      <c r="C146" s="3" t="s">
        <v>360</v>
      </c>
      <c r="D146" s="4" t="s">
        <v>643</v>
      </c>
      <c r="E146" s="3"/>
      <c r="F146" s="8">
        <v>45735</v>
      </c>
      <c r="G146" s="19" t="str">
        <f>IF('단어 시험장'!E146="❌","❌","")</f>
        <v/>
      </c>
      <c r="H146" s="23" t="str" cm="1">
        <f t="array" ref="H146">IF(B146="","",IF(COUNTIF($B$2:$B$501,B146)&gt;1,"No."&amp;_xlfn.TEXTJOIN(", ",TRUE,IF(($B$2:$B$501=B146)*(ROW($B$2:$B$501)&lt;&gt;ROW(B146)),""&amp;$A$2:$A$501,"")),""))</f>
        <v/>
      </c>
      <c r="I146" s="10"/>
    </row>
    <row r="147" spans="1:9" x14ac:dyDescent="0.4">
      <c r="A147" s="3">
        <v>146</v>
      </c>
      <c r="B147" s="3" t="s">
        <v>315</v>
      </c>
      <c r="C147" s="3" t="s">
        <v>361</v>
      </c>
      <c r="D147" s="4" t="s">
        <v>644</v>
      </c>
      <c r="E147" s="3"/>
      <c r="F147" s="8">
        <v>45735</v>
      </c>
      <c r="G147" s="19" t="str">
        <f>IF('단어 시험장'!E147="❌","❌","")</f>
        <v/>
      </c>
      <c r="H147" s="23" t="str" cm="1">
        <f t="array" ref="H147">IF(B147="","",IF(COUNTIF($B$2:$B$501,B147)&gt;1,"No."&amp;_xlfn.TEXTJOIN(", ",TRUE,IF(($B$2:$B$501=B147)*(ROW($B$2:$B$501)&lt;&gt;ROW(B147)),""&amp;$A$2:$A$501,"")),""))</f>
        <v/>
      </c>
      <c r="I147" s="10"/>
    </row>
    <row r="148" spans="1:9" x14ac:dyDescent="0.4">
      <c r="A148" s="3">
        <v>147</v>
      </c>
      <c r="B148" s="3" t="s">
        <v>316</v>
      </c>
      <c r="C148" s="3" t="s">
        <v>362</v>
      </c>
      <c r="D148" s="4" t="s">
        <v>645</v>
      </c>
      <c r="E148" s="3"/>
      <c r="F148" s="8">
        <v>45735</v>
      </c>
      <c r="G148" s="19" t="str">
        <f>IF('단어 시험장'!E148="❌","❌","")</f>
        <v/>
      </c>
      <c r="H148" s="23" t="str" cm="1">
        <f t="array" ref="H148">IF(B148="","",IF(COUNTIF($B$2:$B$501,B148)&gt;1,"No."&amp;_xlfn.TEXTJOIN(", ",TRUE,IF(($B$2:$B$501=B148)*(ROW($B$2:$B$501)&lt;&gt;ROW(B148)),""&amp;$A$2:$A$501,"")),""))</f>
        <v/>
      </c>
      <c r="I148" s="10"/>
    </row>
    <row r="149" spans="1:9" x14ac:dyDescent="0.4">
      <c r="A149" s="3">
        <v>148</v>
      </c>
      <c r="B149" s="3" t="s">
        <v>317</v>
      </c>
      <c r="C149" s="3" t="s">
        <v>363</v>
      </c>
      <c r="D149" s="4" t="s">
        <v>646</v>
      </c>
      <c r="E149" s="3"/>
      <c r="F149" s="8">
        <v>45735</v>
      </c>
      <c r="G149" s="19" t="str">
        <f>IF('단어 시험장'!E149="❌","❌","")</f>
        <v/>
      </c>
      <c r="H149" s="23" t="str" cm="1">
        <f t="array" ref="H149">IF(B149="","",IF(COUNTIF($B$2:$B$501,B149)&gt;1,"No."&amp;_xlfn.TEXTJOIN(", ",TRUE,IF(($B$2:$B$501=B149)*(ROW($B$2:$B$501)&lt;&gt;ROW(B149)),""&amp;$A$2:$A$501,"")),""))</f>
        <v/>
      </c>
      <c r="I149" s="10"/>
    </row>
    <row r="150" spans="1:9" x14ac:dyDescent="0.4">
      <c r="A150" s="3">
        <v>149</v>
      </c>
      <c r="B150" s="3" t="s">
        <v>318</v>
      </c>
      <c r="C150" s="3" t="s">
        <v>364</v>
      </c>
      <c r="D150" s="4" t="s">
        <v>647</v>
      </c>
      <c r="E150" s="3"/>
      <c r="F150" s="8">
        <v>45735</v>
      </c>
      <c r="G150" s="19" t="str">
        <f>IF('단어 시험장'!E150="❌","❌","")</f>
        <v/>
      </c>
      <c r="H150" s="23" t="str" cm="1">
        <f t="array" ref="H150">IF(B150="","",IF(COUNTIF($B$2:$B$501,B150)&gt;1,"No."&amp;_xlfn.TEXTJOIN(", ",TRUE,IF(($B$2:$B$501=B150)*(ROW($B$2:$B$501)&lt;&gt;ROW(B150)),""&amp;$A$2:$A$501,"")),""))</f>
        <v/>
      </c>
      <c r="I150" s="10"/>
    </row>
    <row r="151" spans="1:9" x14ac:dyDescent="0.4">
      <c r="A151" s="3">
        <v>150</v>
      </c>
      <c r="B151" s="3" t="s">
        <v>319</v>
      </c>
      <c r="C151" s="3" t="s">
        <v>365</v>
      </c>
      <c r="D151" s="4" t="s">
        <v>648</v>
      </c>
      <c r="E151" s="3"/>
      <c r="F151" s="8">
        <v>45735</v>
      </c>
      <c r="G151" s="19" t="str">
        <f>IF('단어 시험장'!E151="❌","❌","")</f>
        <v/>
      </c>
      <c r="H151" s="23" t="str" cm="1">
        <f t="array" ref="H151">IF(B151="","",IF(COUNTIF($B$2:$B$501,B151)&gt;1,"No."&amp;_xlfn.TEXTJOIN(", ",TRUE,IF(($B$2:$B$501=B151)*(ROW($B$2:$B$501)&lt;&gt;ROW(B151)),""&amp;$A$2:$A$501,"")),""))</f>
        <v/>
      </c>
      <c r="I151" s="10"/>
    </row>
    <row r="152" spans="1:9" x14ac:dyDescent="0.4">
      <c r="A152" s="3">
        <v>151</v>
      </c>
      <c r="B152" s="3" t="s">
        <v>320</v>
      </c>
      <c r="C152" s="3" t="s">
        <v>366</v>
      </c>
      <c r="D152" s="4" t="s">
        <v>649</v>
      </c>
      <c r="E152" s="3"/>
      <c r="F152" s="8">
        <v>45735</v>
      </c>
      <c r="G152" s="19" t="str">
        <f>IF('단어 시험장'!E152="❌","❌","")</f>
        <v/>
      </c>
      <c r="H152" s="23" t="str" cm="1">
        <f t="array" ref="H152">IF(B152="","",IF(COUNTIF($B$2:$B$501,B152)&gt;1,"No."&amp;_xlfn.TEXTJOIN(", ",TRUE,IF(($B$2:$B$501=B152)*(ROW($B$2:$B$501)&lt;&gt;ROW(B152)),""&amp;$A$2:$A$501,"")),""))</f>
        <v/>
      </c>
      <c r="I152" s="10"/>
    </row>
    <row r="153" spans="1:9" x14ac:dyDescent="0.4">
      <c r="A153" s="3">
        <v>152</v>
      </c>
      <c r="B153" s="3" t="s">
        <v>321</v>
      </c>
      <c r="C153" s="3" t="s">
        <v>367</v>
      </c>
      <c r="D153" s="4" t="s">
        <v>650</v>
      </c>
      <c r="E153" s="3"/>
      <c r="F153" s="8">
        <v>45735</v>
      </c>
      <c r="G153" s="19" t="str">
        <f>IF('단어 시험장'!E153="❌","❌","")</f>
        <v/>
      </c>
      <c r="H153" s="23" t="str" cm="1">
        <f t="array" ref="H153">IF(B153="","",IF(COUNTIF($B$2:$B$501,B153)&gt;1,"No."&amp;_xlfn.TEXTJOIN(", ",TRUE,IF(($B$2:$B$501=B153)*(ROW($B$2:$B$501)&lt;&gt;ROW(B153)),""&amp;$A$2:$A$501,"")),""))</f>
        <v/>
      </c>
      <c r="I153" s="10"/>
    </row>
    <row r="154" spans="1:9" x14ac:dyDescent="0.4">
      <c r="A154" s="3">
        <v>153</v>
      </c>
      <c r="B154" s="3" t="s">
        <v>322</v>
      </c>
      <c r="C154" s="3" t="s">
        <v>368</v>
      </c>
      <c r="D154" s="4" t="s">
        <v>651</v>
      </c>
      <c r="E154" s="3"/>
      <c r="F154" s="8">
        <v>45735</v>
      </c>
      <c r="G154" s="19" t="str">
        <f>IF('단어 시험장'!E154="❌","❌","")</f>
        <v/>
      </c>
      <c r="H154" s="23" t="str" cm="1">
        <f t="array" ref="H154">IF(B154="","",IF(COUNTIF($B$2:$B$501,B154)&gt;1,"No."&amp;_xlfn.TEXTJOIN(", ",TRUE,IF(($B$2:$B$501=B154)*(ROW($B$2:$B$501)&lt;&gt;ROW(B154)),""&amp;$A$2:$A$501,"")),""))</f>
        <v/>
      </c>
      <c r="I154" s="10"/>
    </row>
    <row r="155" spans="1:9" x14ac:dyDescent="0.4">
      <c r="A155" s="3">
        <v>154</v>
      </c>
      <c r="B155" s="3" t="s">
        <v>369</v>
      </c>
      <c r="C155" s="3" t="s">
        <v>370</v>
      </c>
      <c r="D155" s="4" t="s">
        <v>652</v>
      </c>
      <c r="E155" s="3"/>
      <c r="F155" s="8">
        <v>45735</v>
      </c>
      <c r="G155" s="19" t="str">
        <f>IF('단어 시험장'!E155="❌","❌","")</f>
        <v/>
      </c>
      <c r="H155" s="23" t="str" cm="1">
        <f t="array" ref="H155">IF(B155="","",IF(COUNTIF($B$2:$B$501,B155)&gt;1,"No."&amp;_xlfn.TEXTJOIN(", ",TRUE,IF(($B$2:$B$501=B155)*(ROW($B$2:$B$501)&lt;&gt;ROW(B155)),""&amp;$A$2:$A$501,"")),""))</f>
        <v/>
      </c>
      <c r="I155" s="10"/>
    </row>
    <row r="156" spans="1:9" x14ac:dyDescent="0.4">
      <c r="A156" s="3">
        <v>155</v>
      </c>
      <c r="B156" s="3" t="s">
        <v>323</v>
      </c>
      <c r="C156" s="3" t="s">
        <v>371</v>
      </c>
      <c r="D156" s="4" t="s">
        <v>653</v>
      </c>
      <c r="E156" s="3"/>
      <c r="F156" s="8">
        <v>45735</v>
      </c>
      <c r="G156" s="19" t="str">
        <f>IF('단어 시험장'!E156="❌","❌","")</f>
        <v/>
      </c>
      <c r="H156" s="23" t="str" cm="1">
        <f t="array" ref="H156">IF(B156="","",IF(COUNTIF($B$2:$B$501,B156)&gt;1,"No."&amp;_xlfn.TEXTJOIN(", ",TRUE,IF(($B$2:$B$501=B156)*(ROW($B$2:$B$501)&lt;&gt;ROW(B156)),""&amp;$A$2:$A$501,"")),""))</f>
        <v/>
      </c>
      <c r="I156" s="10"/>
    </row>
    <row r="157" spans="1:9" x14ac:dyDescent="0.4">
      <c r="A157" s="3">
        <v>156</v>
      </c>
      <c r="B157" s="3" t="s">
        <v>324</v>
      </c>
      <c r="C157" s="3" t="s">
        <v>372</v>
      </c>
      <c r="D157" s="4" t="s">
        <v>654</v>
      </c>
      <c r="E157" s="3"/>
      <c r="F157" s="8">
        <v>45735</v>
      </c>
      <c r="G157" s="19" t="str">
        <f>IF('단어 시험장'!E157="❌","❌","")</f>
        <v/>
      </c>
      <c r="H157" s="23" t="str" cm="1">
        <f t="array" ref="H157">IF(B157="","",IF(COUNTIF($B$2:$B$501,B157)&gt;1,"No."&amp;_xlfn.TEXTJOIN(", ",TRUE,IF(($B$2:$B$501=B157)*(ROW($B$2:$B$501)&lt;&gt;ROW(B157)),""&amp;$A$2:$A$501,"")),""))</f>
        <v/>
      </c>
      <c r="I157" s="10"/>
    </row>
    <row r="158" spans="1:9" x14ac:dyDescent="0.4">
      <c r="A158" s="3">
        <v>157</v>
      </c>
      <c r="B158" s="3" t="s">
        <v>325</v>
      </c>
      <c r="C158" s="3" t="s">
        <v>373</v>
      </c>
      <c r="D158" s="4" t="s">
        <v>655</v>
      </c>
      <c r="E158" s="3"/>
      <c r="F158" s="8">
        <v>45735</v>
      </c>
      <c r="G158" s="19" t="str">
        <f>IF('단어 시험장'!E158="❌","❌","")</f>
        <v/>
      </c>
      <c r="H158" s="23" t="str" cm="1">
        <f t="array" ref="H158">IF(B158="","",IF(COUNTIF($B$2:$B$501,B158)&gt;1,"No."&amp;_xlfn.TEXTJOIN(", ",TRUE,IF(($B$2:$B$501=B158)*(ROW($B$2:$B$501)&lt;&gt;ROW(B158)),""&amp;$A$2:$A$501,"")),""))</f>
        <v/>
      </c>
      <c r="I158" s="10"/>
    </row>
    <row r="159" spans="1:9" x14ac:dyDescent="0.4">
      <c r="A159" s="3">
        <v>158</v>
      </c>
      <c r="B159" s="3" t="s">
        <v>326</v>
      </c>
      <c r="C159" s="3" t="s">
        <v>374</v>
      </c>
      <c r="D159" s="4" t="s">
        <v>656</v>
      </c>
      <c r="E159" s="3"/>
      <c r="F159" s="8">
        <v>45735</v>
      </c>
      <c r="G159" s="19" t="str">
        <f>IF('단어 시험장'!E159="❌","❌","")</f>
        <v/>
      </c>
      <c r="H159" s="23" t="str" cm="1">
        <f t="array" ref="H159">IF(B159="","",IF(COUNTIF($B$2:$B$501,B159)&gt;1,"No."&amp;_xlfn.TEXTJOIN(", ",TRUE,IF(($B$2:$B$501=B159)*(ROW($B$2:$B$501)&lt;&gt;ROW(B159)),""&amp;$A$2:$A$501,"")),""))</f>
        <v/>
      </c>
      <c r="I159" s="10"/>
    </row>
    <row r="160" spans="1:9" x14ac:dyDescent="0.4">
      <c r="A160" s="3">
        <v>159</v>
      </c>
      <c r="B160" s="3" t="s">
        <v>375</v>
      </c>
      <c r="C160" s="3" t="s">
        <v>451</v>
      </c>
      <c r="D160" s="4" t="s">
        <v>657</v>
      </c>
      <c r="E160" s="3"/>
      <c r="F160" s="8">
        <v>45735</v>
      </c>
      <c r="G160" s="19" t="str">
        <f>IF('단어 시험장'!E160="❌","❌","")</f>
        <v/>
      </c>
      <c r="H160" s="23" t="str" cm="1">
        <f t="array" ref="H160">IF(B160="","",IF(COUNTIF($B$2:$B$501,B160)&gt;1,"No."&amp;_xlfn.TEXTJOIN(", ",TRUE,IF(($B$2:$B$501=B160)*(ROW($B$2:$B$501)&lt;&gt;ROW(B160)),""&amp;$A$2:$A$501,"")),""))</f>
        <v/>
      </c>
      <c r="I160" s="10"/>
    </row>
    <row r="161" spans="1:9" x14ac:dyDescent="0.4">
      <c r="A161" s="3">
        <v>160</v>
      </c>
      <c r="B161" s="3" t="s">
        <v>376</v>
      </c>
      <c r="C161" s="3" t="s">
        <v>452</v>
      </c>
      <c r="D161" s="4" t="s">
        <v>660</v>
      </c>
      <c r="E161" s="3"/>
      <c r="F161" s="8">
        <v>45735</v>
      </c>
      <c r="G161" s="19" t="str">
        <f>IF('단어 시험장'!E161="❌","❌","")</f>
        <v/>
      </c>
      <c r="H161" s="23" t="str" cm="1">
        <f t="array" ref="H161">IF(B161="","",IF(COUNTIF($B$2:$B$501,B161)&gt;1,"No."&amp;_xlfn.TEXTJOIN(", ",TRUE,IF(($B$2:$B$501=B161)*(ROW($B$2:$B$501)&lt;&gt;ROW(B161)),""&amp;$A$2:$A$501,"")),""))</f>
        <v/>
      </c>
      <c r="I161" s="10"/>
    </row>
    <row r="162" spans="1:9" x14ac:dyDescent="0.4">
      <c r="A162" s="3">
        <v>161</v>
      </c>
      <c r="B162" s="3" t="s">
        <v>377</v>
      </c>
      <c r="C162" s="3" t="s">
        <v>453</v>
      </c>
      <c r="D162" s="4" t="s">
        <v>661</v>
      </c>
      <c r="E162" s="3"/>
      <c r="F162" s="8">
        <v>45735</v>
      </c>
      <c r="G162" s="19" t="str">
        <f>IF('단어 시험장'!E162="❌","❌","")</f>
        <v/>
      </c>
      <c r="H162" s="23" t="str" cm="1">
        <f t="array" ref="H162">IF(B162="","",IF(COUNTIF($B$2:$B$501,B162)&gt;1,"No."&amp;_xlfn.TEXTJOIN(", ",TRUE,IF(($B$2:$B$501=B162)*(ROW($B$2:$B$501)&lt;&gt;ROW(B162)),""&amp;$A$2:$A$501,"")),""))</f>
        <v/>
      </c>
      <c r="I162" s="10"/>
    </row>
    <row r="163" spans="1:9" x14ac:dyDescent="0.4">
      <c r="A163" s="3">
        <v>162</v>
      </c>
      <c r="B163" s="3" t="s">
        <v>378</v>
      </c>
      <c r="C163" s="3" t="s">
        <v>454</v>
      </c>
      <c r="D163" s="4" t="s">
        <v>662</v>
      </c>
      <c r="E163" s="3"/>
      <c r="F163" s="8">
        <v>45735</v>
      </c>
      <c r="G163" s="19" t="str">
        <f>IF('단어 시험장'!E163="❌","❌","")</f>
        <v/>
      </c>
      <c r="H163" s="23" t="str" cm="1">
        <f t="array" ref="H163">IF(B163="","",IF(COUNTIF($B$2:$B$501,B163)&gt;1,"No."&amp;_xlfn.TEXTJOIN(", ",TRUE,IF(($B$2:$B$501=B163)*(ROW($B$2:$B$501)&lt;&gt;ROW(B163)),""&amp;$A$2:$A$501,"")),""))</f>
        <v/>
      </c>
      <c r="I163" s="10"/>
    </row>
    <row r="164" spans="1:9" x14ac:dyDescent="0.4">
      <c r="A164" s="3">
        <v>163</v>
      </c>
      <c r="B164" s="3" t="s">
        <v>379</v>
      </c>
      <c r="C164" s="3" t="s">
        <v>455</v>
      </c>
      <c r="D164" s="4" t="s">
        <v>663</v>
      </c>
      <c r="E164" s="3"/>
      <c r="F164" s="8">
        <v>45735</v>
      </c>
      <c r="G164" s="19" t="str">
        <f>IF('단어 시험장'!E164="❌","❌","")</f>
        <v/>
      </c>
      <c r="H164" s="23" t="str" cm="1">
        <f t="array" ref="H164">IF(B164="","",IF(COUNTIF($B$2:$B$501,B164)&gt;1,"No."&amp;_xlfn.TEXTJOIN(", ",TRUE,IF(($B$2:$B$501=B164)*(ROW($B$2:$B$501)&lt;&gt;ROW(B164)),""&amp;$A$2:$A$501,"")),""))</f>
        <v/>
      </c>
      <c r="I164" s="10"/>
    </row>
    <row r="165" spans="1:9" x14ac:dyDescent="0.4">
      <c r="A165" s="3">
        <v>164</v>
      </c>
      <c r="B165" s="3" t="s">
        <v>380</v>
      </c>
      <c r="C165" s="3" t="s">
        <v>456</v>
      </c>
      <c r="D165" s="4" t="s">
        <v>664</v>
      </c>
      <c r="E165" s="3"/>
      <c r="F165" s="8">
        <v>45735</v>
      </c>
      <c r="G165" s="19" t="str">
        <f>IF('단어 시험장'!E165="❌","❌","")</f>
        <v/>
      </c>
      <c r="H165" s="23" t="str" cm="1">
        <f t="array" ref="H165">IF(B165="","",IF(COUNTIF($B$2:$B$501,B165)&gt;1,"No."&amp;_xlfn.TEXTJOIN(", ",TRUE,IF(($B$2:$B$501=B165)*(ROW($B$2:$B$501)&lt;&gt;ROW(B165)),""&amp;$A$2:$A$501,"")),""))</f>
        <v/>
      </c>
      <c r="I165" s="10"/>
    </row>
    <row r="166" spans="1:9" x14ac:dyDescent="0.4">
      <c r="A166" s="3">
        <v>165</v>
      </c>
      <c r="B166" s="3" t="s">
        <v>381</v>
      </c>
      <c r="C166" s="3" t="s">
        <v>457</v>
      </c>
      <c r="D166" s="4" t="s">
        <v>665</v>
      </c>
      <c r="E166" s="3"/>
      <c r="F166" s="8">
        <v>45735</v>
      </c>
      <c r="G166" s="19" t="str">
        <f>IF('단어 시험장'!E166="❌","❌","")</f>
        <v/>
      </c>
      <c r="H166" s="23" t="str" cm="1">
        <f t="array" ref="H166">IF(B166="","",IF(COUNTIF($B$2:$B$501,B166)&gt;1,"No."&amp;_xlfn.TEXTJOIN(", ",TRUE,IF(($B$2:$B$501=B166)*(ROW($B$2:$B$501)&lt;&gt;ROW(B166)),""&amp;$A$2:$A$501,"")),""))</f>
        <v/>
      </c>
      <c r="I166" s="10"/>
    </row>
    <row r="167" spans="1:9" x14ac:dyDescent="0.4">
      <c r="A167" s="3">
        <v>166</v>
      </c>
      <c r="B167" s="3" t="s">
        <v>382</v>
      </c>
      <c r="C167" s="3" t="s">
        <v>458</v>
      </c>
      <c r="D167" s="4" t="s">
        <v>666</v>
      </c>
      <c r="E167" s="3"/>
      <c r="F167" s="8">
        <v>45735</v>
      </c>
      <c r="G167" s="19" t="str">
        <f>IF('단어 시험장'!E167="❌","❌","")</f>
        <v/>
      </c>
      <c r="H167" s="23" t="str" cm="1">
        <f t="array" ref="H167">IF(B167="","",IF(COUNTIF($B$2:$B$501,B167)&gt;1,"No."&amp;_xlfn.TEXTJOIN(", ",TRUE,IF(($B$2:$B$501=B167)*(ROW($B$2:$B$501)&lt;&gt;ROW(B167)),""&amp;$A$2:$A$501,"")),""))</f>
        <v/>
      </c>
      <c r="I167" s="10"/>
    </row>
    <row r="168" spans="1:9" x14ac:dyDescent="0.4">
      <c r="A168" s="3">
        <v>167</v>
      </c>
      <c r="B168" s="3" t="s">
        <v>383</v>
      </c>
      <c r="C168" s="3" t="s">
        <v>459</v>
      </c>
      <c r="D168" s="4" t="s">
        <v>667</v>
      </c>
      <c r="E168" s="3"/>
      <c r="F168" s="8">
        <v>45735</v>
      </c>
      <c r="G168" s="19" t="str">
        <f>IF('단어 시험장'!E168="❌","❌","")</f>
        <v/>
      </c>
      <c r="H168" s="23" t="str" cm="1">
        <f t="array" ref="H168">IF(B168="","",IF(COUNTIF($B$2:$B$501,B168)&gt;1,"No."&amp;_xlfn.TEXTJOIN(", ",TRUE,IF(($B$2:$B$501=B168)*(ROW($B$2:$B$501)&lt;&gt;ROW(B168)),""&amp;$A$2:$A$501,"")),""))</f>
        <v/>
      </c>
      <c r="I168" s="10"/>
    </row>
    <row r="169" spans="1:9" x14ac:dyDescent="0.4">
      <c r="A169" s="3">
        <v>168</v>
      </c>
      <c r="B169" s="3" t="s">
        <v>384</v>
      </c>
      <c r="C169" s="3" t="s">
        <v>385</v>
      </c>
      <c r="D169" s="4" t="s">
        <v>668</v>
      </c>
      <c r="E169" s="3"/>
      <c r="F169" s="8">
        <v>45735</v>
      </c>
      <c r="G169" s="19" t="str">
        <f>IF('단어 시험장'!E169="❌","❌","")</f>
        <v/>
      </c>
      <c r="H169" s="23" t="str" cm="1">
        <f t="array" ref="H169">IF(B169="","",IF(COUNTIF($B$2:$B$501,B169)&gt;1,"No."&amp;_xlfn.TEXTJOIN(", ",TRUE,IF(($B$2:$B$501=B169)*(ROW($B$2:$B$501)&lt;&gt;ROW(B169)),""&amp;$A$2:$A$501,"")),""))</f>
        <v/>
      </c>
      <c r="I169" s="10"/>
    </row>
    <row r="170" spans="1:9" x14ac:dyDescent="0.4">
      <c r="A170" s="3">
        <v>169</v>
      </c>
      <c r="B170" s="3" t="s">
        <v>386</v>
      </c>
      <c r="C170" s="3" t="s">
        <v>670</v>
      </c>
      <c r="D170" s="4" t="s">
        <v>669</v>
      </c>
      <c r="E170" s="3"/>
      <c r="F170" s="8">
        <v>45735</v>
      </c>
      <c r="G170" s="19" t="str">
        <f>IF('단어 시험장'!E170="❌","❌","")</f>
        <v/>
      </c>
      <c r="H170" s="23" t="str" cm="1">
        <f t="array" ref="H170">IF(B170="","",IF(COUNTIF($B$2:$B$501,B170)&gt;1,"No."&amp;_xlfn.TEXTJOIN(", ",TRUE,IF(($B$2:$B$501=B170)*(ROW($B$2:$B$501)&lt;&gt;ROW(B170)),""&amp;$A$2:$A$501,"")),""))</f>
        <v/>
      </c>
      <c r="I170" s="10"/>
    </row>
    <row r="171" spans="1:9" x14ac:dyDescent="0.4">
      <c r="A171" s="3">
        <v>170</v>
      </c>
      <c r="B171" s="3" t="s">
        <v>387</v>
      </c>
      <c r="C171" s="3" t="s">
        <v>460</v>
      </c>
      <c r="D171" s="4" t="s">
        <v>671</v>
      </c>
      <c r="E171" s="3"/>
      <c r="F171" s="8">
        <v>45735</v>
      </c>
      <c r="G171" s="19" t="str">
        <f>IF('단어 시험장'!E171="❌","❌","")</f>
        <v/>
      </c>
      <c r="H171" s="23" t="str" cm="1">
        <f t="array" ref="H171">IF(B171="","",IF(COUNTIF($B$2:$B$501,B171)&gt;1,"No."&amp;_xlfn.TEXTJOIN(", ",TRUE,IF(($B$2:$B$501=B171)*(ROW($B$2:$B$501)&lt;&gt;ROW(B171)),""&amp;$A$2:$A$501,"")),""))</f>
        <v/>
      </c>
      <c r="I171" s="10"/>
    </row>
    <row r="172" spans="1:9" x14ac:dyDescent="0.4">
      <c r="A172" s="3">
        <v>171</v>
      </c>
      <c r="B172" s="3" t="s">
        <v>388</v>
      </c>
      <c r="C172" s="3" t="s">
        <v>461</v>
      </c>
      <c r="D172" s="4" t="s">
        <v>672</v>
      </c>
      <c r="E172" s="3"/>
      <c r="F172" s="8">
        <v>45735</v>
      </c>
      <c r="G172" s="19" t="str">
        <f>IF('단어 시험장'!E172="❌","❌","")</f>
        <v/>
      </c>
      <c r="H172" s="23" t="str" cm="1">
        <f t="array" ref="H172">IF(B172="","",IF(COUNTIF($B$2:$B$501,B172)&gt;1,"No."&amp;_xlfn.TEXTJOIN(", ",TRUE,IF(($B$2:$B$501=B172)*(ROW($B$2:$B$501)&lt;&gt;ROW(B172)),""&amp;$A$2:$A$501,"")),""))</f>
        <v/>
      </c>
      <c r="I172" s="10"/>
    </row>
    <row r="173" spans="1:9" x14ac:dyDescent="0.4">
      <c r="A173" s="3">
        <v>172</v>
      </c>
      <c r="B173" s="3" t="s">
        <v>389</v>
      </c>
      <c r="C173" s="3" t="s">
        <v>462</v>
      </c>
      <c r="D173" s="4" t="s">
        <v>673</v>
      </c>
      <c r="E173" s="3"/>
      <c r="F173" s="8">
        <v>45735</v>
      </c>
      <c r="G173" s="19" t="str">
        <f>IF('단어 시험장'!E173="❌","❌","")</f>
        <v/>
      </c>
      <c r="H173" s="23" t="str" cm="1">
        <f t="array" ref="H173">IF(B173="","",IF(COUNTIF($B$2:$B$501,B173)&gt;1,"No."&amp;_xlfn.TEXTJOIN(", ",TRUE,IF(($B$2:$B$501=B173)*(ROW($B$2:$B$501)&lt;&gt;ROW(B173)),""&amp;$A$2:$A$501,"")),""))</f>
        <v/>
      </c>
      <c r="I173" s="10"/>
    </row>
    <row r="174" spans="1:9" x14ac:dyDescent="0.4">
      <c r="A174" s="3">
        <v>173</v>
      </c>
      <c r="B174" s="3" t="s">
        <v>390</v>
      </c>
      <c r="C174" s="3" t="s">
        <v>463</v>
      </c>
      <c r="D174" s="4" t="s">
        <v>674</v>
      </c>
      <c r="E174" s="3"/>
      <c r="F174" s="8">
        <v>45735</v>
      </c>
      <c r="G174" s="19" t="str">
        <f>IF('단어 시험장'!E174="❌","❌","")</f>
        <v/>
      </c>
      <c r="H174" s="23" t="str" cm="1">
        <f t="array" ref="H174">IF(B174="","",IF(COUNTIF($B$2:$B$501,B174)&gt;1,"No."&amp;_xlfn.TEXTJOIN(", ",TRUE,IF(($B$2:$B$501=B174)*(ROW($B$2:$B$501)&lt;&gt;ROW(B174)),""&amp;$A$2:$A$501,"")),""))</f>
        <v/>
      </c>
      <c r="I174" s="10"/>
    </row>
    <row r="175" spans="1:9" x14ac:dyDescent="0.4">
      <c r="A175" s="3">
        <v>174</v>
      </c>
      <c r="B175" s="3" t="s">
        <v>391</v>
      </c>
      <c r="C175" s="3" t="s">
        <v>464</v>
      </c>
      <c r="D175" s="4" t="s">
        <v>675</v>
      </c>
      <c r="E175" s="3"/>
      <c r="F175" s="8">
        <v>45735</v>
      </c>
      <c r="G175" s="19" t="str">
        <f>IF('단어 시험장'!E175="❌","❌","")</f>
        <v/>
      </c>
      <c r="H175" s="23" t="str" cm="1">
        <f t="array" ref="H175">IF(B175="","",IF(COUNTIF($B$2:$B$501,B175)&gt;1,"No."&amp;_xlfn.TEXTJOIN(", ",TRUE,IF(($B$2:$B$501=B175)*(ROW($B$2:$B$501)&lt;&gt;ROW(B175)),""&amp;$A$2:$A$501,"")),""))</f>
        <v/>
      </c>
      <c r="I175" s="10"/>
    </row>
    <row r="176" spans="1:9" x14ac:dyDescent="0.4">
      <c r="A176" s="3">
        <v>175</v>
      </c>
      <c r="B176" s="3" t="s">
        <v>392</v>
      </c>
      <c r="C176" s="3" t="s">
        <v>465</v>
      </c>
      <c r="D176" s="4" t="s">
        <v>676</v>
      </c>
      <c r="E176" s="3"/>
      <c r="F176" s="8">
        <v>45735</v>
      </c>
      <c r="G176" s="19" t="str">
        <f>IF('단어 시험장'!E176="❌","❌","")</f>
        <v/>
      </c>
      <c r="H176" s="23" t="str" cm="1">
        <f t="array" ref="H176">IF(B176="","",IF(COUNTIF($B$2:$B$501,B176)&gt;1,"No."&amp;_xlfn.TEXTJOIN(", ",TRUE,IF(($B$2:$B$501=B176)*(ROW($B$2:$B$501)&lt;&gt;ROW(B176)),""&amp;$A$2:$A$501,"")),""))</f>
        <v/>
      </c>
      <c r="I176" s="10"/>
    </row>
    <row r="177" spans="1:9" x14ac:dyDescent="0.4">
      <c r="A177" s="3">
        <v>176</v>
      </c>
      <c r="B177" s="3" t="s">
        <v>393</v>
      </c>
      <c r="C177" s="3" t="s">
        <v>466</v>
      </c>
      <c r="D177" s="4" t="s">
        <v>677</v>
      </c>
      <c r="E177" s="3"/>
      <c r="F177" s="8">
        <v>45735</v>
      </c>
      <c r="G177" s="19" t="str">
        <f>IF('단어 시험장'!E177="❌","❌","")</f>
        <v/>
      </c>
      <c r="H177" s="23" t="str" cm="1">
        <f t="array" ref="H177">IF(B177="","",IF(COUNTIF($B$2:$B$501,B177)&gt;1,"No."&amp;_xlfn.TEXTJOIN(", ",TRUE,IF(($B$2:$B$501=B177)*(ROW($B$2:$B$501)&lt;&gt;ROW(B177)),""&amp;$A$2:$A$501,"")),""))</f>
        <v/>
      </c>
      <c r="I177" s="10"/>
    </row>
    <row r="178" spans="1:9" x14ac:dyDescent="0.4">
      <c r="A178" s="3">
        <v>177</v>
      </c>
      <c r="B178" s="3" t="s">
        <v>394</v>
      </c>
      <c r="C178" s="3" t="s">
        <v>467</v>
      </c>
      <c r="D178" s="4" t="s">
        <v>678</v>
      </c>
      <c r="E178" s="3"/>
      <c r="F178" s="8">
        <v>45735</v>
      </c>
      <c r="G178" s="19" t="str">
        <f>IF('단어 시험장'!E178="❌","❌","")</f>
        <v/>
      </c>
      <c r="H178" s="23" t="str" cm="1">
        <f t="array" ref="H178">IF(B178="","",IF(COUNTIF($B$2:$B$501,B178)&gt;1,"No."&amp;_xlfn.TEXTJOIN(", ",TRUE,IF(($B$2:$B$501=B178)*(ROW($B$2:$B$501)&lt;&gt;ROW(B178)),""&amp;$A$2:$A$501,"")),""))</f>
        <v/>
      </c>
      <c r="I178" s="10"/>
    </row>
    <row r="179" spans="1:9" x14ac:dyDescent="0.4">
      <c r="A179" s="3">
        <v>178</v>
      </c>
      <c r="B179" s="3" t="s">
        <v>395</v>
      </c>
      <c r="C179" s="3" t="s">
        <v>468</v>
      </c>
      <c r="D179" s="4" t="s">
        <v>681</v>
      </c>
      <c r="E179" s="3"/>
      <c r="F179" s="8">
        <v>45735</v>
      </c>
      <c r="G179" s="19" t="str">
        <f>IF('단어 시험장'!E179="❌","❌","")</f>
        <v/>
      </c>
      <c r="H179" s="23" t="str" cm="1">
        <f t="array" ref="H179">IF(B179="","",IF(COUNTIF($B$2:$B$501,B179)&gt;1,"No."&amp;_xlfn.TEXTJOIN(", ",TRUE,IF(($B$2:$B$501=B179)*(ROW($B$2:$B$501)&lt;&gt;ROW(B179)),""&amp;$A$2:$A$501,"")),""))</f>
        <v/>
      </c>
      <c r="I179" s="10"/>
    </row>
    <row r="180" spans="1:9" x14ac:dyDescent="0.4">
      <c r="A180" s="3">
        <v>179</v>
      </c>
      <c r="B180" s="3" t="s">
        <v>396</v>
      </c>
      <c r="C180" s="3" t="s">
        <v>469</v>
      </c>
      <c r="D180" s="4" t="s">
        <v>682</v>
      </c>
      <c r="E180" s="3"/>
      <c r="F180" s="8">
        <v>45735</v>
      </c>
      <c r="G180" s="19" t="str">
        <f>IF('단어 시험장'!E180="❌","❌","")</f>
        <v/>
      </c>
      <c r="H180" s="23" t="str" cm="1">
        <f t="array" ref="H180">IF(B180="","",IF(COUNTIF($B$2:$B$501,B180)&gt;1,"No."&amp;_xlfn.TEXTJOIN(", ",TRUE,IF(($B$2:$B$501=B180)*(ROW($B$2:$B$501)&lt;&gt;ROW(B180)),""&amp;$A$2:$A$501,"")),""))</f>
        <v/>
      </c>
      <c r="I180" s="10"/>
    </row>
    <row r="181" spans="1:9" x14ac:dyDescent="0.4">
      <c r="A181" s="3">
        <v>180</v>
      </c>
      <c r="B181" s="3" t="s">
        <v>397</v>
      </c>
      <c r="C181" s="3" t="s">
        <v>470</v>
      </c>
      <c r="D181" s="4" t="s">
        <v>683</v>
      </c>
      <c r="E181" s="3"/>
      <c r="F181" s="8">
        <v>45735</v>
      </c>
      <c r="G181" s="19" t="str">
        <f>IF('단어 시험장'!E181="❌","❌","")</f>
        <v/>
      </c>
      <c r="H181" s="23" t="str" cm="1">
        <f t="array" ref="H181">IF(B181="","",IF(COUNTIF($B$2:$B$501,B181)&gt;1,"No."&amp;_xlfn.TEXTJOIN(", ",TRUE,IF(($B$2:$B$501=B181)*(ROW($B$2:$B$501)&lt;&gt;ROW(B181)),""&amp;$A$2:$A$501,"")),""))</f>
        <v/>
      </c>
      <c r="I181" s="10"/>
    </row>
    <row r="182" spans="1:9" x14ac:dyDescent="0.4">
      <c r="A182" s="3">
        <v>181</v>
      </c>
      <c r="B182" s="3" t="s">
        <v>398</v>
      </c>
      <c r="C182" s="3" t="s">
        <v>471</v>
      </c>
      <c r="D182" s="4" t="s">
        <v>688</v>
      </c>
      <c r="E182" s="3"/>
      <c r="F182" s="8">
        <v>45735</v>
      </c>
      <c r="G182" s="19" t="str">
        <f>IF('단어 시험장'!E182="❌","❌","")</f>
        <v/>
      </c>
      <c r="H182" s="23" t="str" cm="1">
        <f t="array" ref="H182">IF(B182="","",IF(COUNTIF($B$2:$B$501,B182)&gt;1,"No."&amp;_xlfn.TEXTJOIN(", ",TRUE,IF(($B$2:$B$501=B182)*(ROW($B$2:$B$501)&lt;&gt;ROW(B182)),""&amp;$A$2:$A$501,"")),""))</f>
        <v/>
      </c>
      <c r="I182" s="10"/>
    </row>
    <row r="183" spans="1:9" x14ac:dyDescent="0.4">
      <c r="A183" s="3">
        <v>182</v>
      </c>
      <c r="B183" s="3" t="s">
        <v>399</v>
      </c>
      <c r="C183" s="3" t="s">
        <v>472</v>
      </c>
      <c r="D183" s="4" t="s">
        <v>689</v>
      </c>
      <c r="E183" s="3"/>
      <c r="F183" s="8">
        <v>45735</v>
      </c>
      <c r="G183" s="19" t="str">
        <f>IF('단어 시험장'!E183="❌","❌","")</f>
        <v/>
      </c>
      <c r="H183" s="23" t="str" cm="1">
        <f t="array" ref="H183">IF(B183="","",IF(COUNTIF($B$2:$B$501,B183)&gt;1,"No."&amp;_xlfn.TEXTJOIN(", ",TRUE,IF(($B$2:$B$501=B183)*(ROW($B$2:$B$501)&lt;&gt;ROW(B183)),""&amp;$A$2:$A$501,"")),""))</f>
        <v/>
      </c>
      <c r="I183" s="10"/>
    </row>
    <row r="184" spans="1:9" x14ac:dyDescent="0.4">
      <c r="A184" s="3">
        <v>183</v>
      </c>
      <c r="B184" s="3" t="s">
        <v>400</v>
      </c>
      <c r="C184" s="3" t="s">
        <v>473</v>
      </c>
      <c r="D184" s="4" t="s">
        <v>690</v>
      </c>
      <c r="E184" s="3"/>
      <c r="F184" s="8">
        <v>45735</v>
      </c>
      <c r="G184" s="19" t="str">
        <f>IF('단어 시험장'!E184="❌","❌","")</f>
        <v/>
      </c>
      <c r="H184" s="23" t="str" cm="1">
        <f t="array" ref="H184">IF(B184="","",IF(COUNTIF($B$2:$B$501,B184)&gt;1,"No."&amp;_xlfn.TEXTJOIN(", ",TRUE,IF(($B$2:$B$501=B184)*(ROW($B$2:$B$501)&lt;&gt;ROW(B184)),""&amp;$A$2:$A$501,"")),""))</f>
        <v/>
      </c>
      <c r="I184" s="10"/>
    </row>
    <row r="185" spans="1:9" x14ac:dyDescent="0.4">
      <c r="A185" s="3">
        <v>184</v>
      </c>
      <c r="B185" s="3" t="s">
        <v>401</v>
      </c>
      <c r="C185" s="3" t="s">
        <v>474</v>
      </c>
      <c r="D185" s="4" t="s">
        <v>691</v>
      </c>
      <c r="E185" s="3"/>
      <c r="F185" s="8">
        <v>45735</v>
      </c>
      <c r="G185" s="19" t="str">
        <f>IF('단어 시험장'!E185="❌","❌","")</f>
        <v/>
      </c>
      <c r="H185" s="23" t="str" cm="1">
        <f t="array" ref="H185">IF(B185="","",IF(COUNTIF($B$2:$B$501,B185)&gt;1,"No."&amp;_xlfn.TEXTJOIN(", ",TRUE,IF(($B$2:$B$501=B185)*(ROW($B$2:$B$501)&lt;&gt;ROW(B185)),""&amp;$A$2:$A$501,"")),""))</f>
        <v/>
      </c>
      <c r="I185" s="10"/>
    </row>
    <row r="186" spans="1:9" x14ac:dyDescent="0.4">
      <c r="A186" s="3">
        <v>185</v>
      </c>
      <c r="B186" s="3" t="s">
        <v>402</v>
      </c>
      <c r="C186" s="3" t="s">
        <v>475</v>
      </c>
      <c r="D186" s="4" t="s">
        <v>692</v>
      </c>
      <c r="E186" s="3"/>
      <c r="F186" s="8">
        <v>45735</v>
      </c>
      <c r="G186" s="19" t="str">
        <f>IF('단어 시험장'!E186="❌","❌","")</f>
        <v/>
      </c>
      <c r="H186" s="23" t="str" cm="1">
        <f t="array" ref="H186">IF(B186="","",IF(COUNTIF($B$2:$B$501,B186)&gt;1,"No."&amp;_xlfn.TEXTJOIN(", ",TRUE,IF(($B$2:$B$501=B186)*(ROW($B$2:$B$501)&lt;&gt;ROW(B186)),""&amp;$A$2:$A$501,"")),""))</f>
        <v/>
      </c>
      <c r="I186" s="10"/>
    </row>
    <row r="187" spans="1:9" x14ac:dyDescent="0.4">
      <c r="A187" s="3">
        <v>186</v>
      </c>
      <c r="B187" s="3" t="s">
        <v>403</v>
      </c>
      <c r="C187" s="3" t="s">
        <v>476</v>
      </c>
      <c r="D187" s="4" t="s">
        <v>693</v>
      </c>
      <c r="E187" s="3"/>
      <c r="F187" s="8">
        <v>45735</v>
      </c>
      <c r="G187" s="19" t="str">
        <f>IF('단어 시험장'!E187="❌","❌","")</f>
        <v/>
      </c>
      <c r="H187" s="23" t="str" cm="1">
        <f t="array" ref="H187">IF(B187="","",IF(COUNTIF($B$2:$B$501,B187)&gt;1,"No."&amp;_xlfn.TEXTJOIN(", ",TRUE,IF(($B$2:$B$501=B187)*(ROW($B$2:$B$501)&lt;&gt;ROW(B187)),""&amp;$A$2:$A$501,"")),""))</f>
        <v/>
      </c>
      <c r="I187" s="10"/>
    </row>
    <row r="188" spans="1:9" x14ac:dyDescent="0.4">
      <c r="A188" s="3">
        <v>187</v>
      </c>
      <c r="B188" s="3" t="s">
        <v>404</v>
      </c>
      <c r="C188" s="3" t="s">
        <v>477</v>
      </c>
      <c r="D188" s="4" t="s">
        <v>694</v>
      </c>
      <c r="E188" s="3"/>
      <c r="F188" s="8">
        <v>45735</v>
      </c>
      <c r="G188" s="19" t="str">
        <f>IF('단어 시험장'!E188="❌","❌","")</f>
        <v/>
      </c>
      <c r="H188" s="23" t="str" cm="1">
        <f t="array" ref="H188">IF(B188="","",IF(COUNTIF($B$2:$B$501,B188)&gt;1,"No."&amp;_xlfn.TEXTJOIN(", ",TRUE,IF(($B$2:$B$501=B188)*(ROW($B$2:$B$501)&lt;&gt;ROW(B188)),""&amp;$A$2:$A$501,"")),""))</f>
        <v/>
      </c>
      <c r="I188" s="10"/>
    </row>
    <row r="189" spans="1:9" x14ac:dyDescent="0.4">
      <c r="A189" s="3">
        <v>188</v>
      </c>
      <c r="B189" s="3" t="s">
        <v>405</v>
      </c>
      <c r="C189" s="3" t="s">
        <v>478</v>
      </c>
      <c r="D189" s="4" t="s">
        <v>695</v>
      </c>
      <c r="E189" s="3"/>
      <c r="F189" s="8">
        <v>45735</v>
      </c>
      <c r="G189" s="19" t="str">
        <f>IF('단어 시험장'!E189="❌","❌","")</f>
        <v/>
      </c>
      <c r="H189" s="23" t="str" cm="1">
        <f t="array" ref="H189">IF(B189="","",IF(COUNTIF($B$2:$B$501,B189)&gt;1,"No."&amp;_xlfn.TEXTJOIN(", ",TRUE,IF(($B$2:$B$501=B189)*(ROW($B$2:$B$501)&lt;&gt;ROW(B189)),""&amp;$A$2:$A$501,"")),""))</f>
        <v/>
      </c>
      <c r="I189" s="10"/>
    </row>
    <row r="190" spans="1:9" x14ac:dyDescent="0.4">
      <c r="A190" s="3">
        <v>189</v>
      </c>
      <c r="B190" s="3" t="s">
        <v>406</v>
      </c>
      <c r="C190" s="3" t="s">
        <v>479</v>
      </c>
      <c r="D190" s="4" t="s">
        <v>697</v>
      </c>
      <c r="E190" s="3"/>
      <c r="F190" s="8">
        <v>45735</v>
      </c>
      <c r="G190" s="19" t="str">
        <f>IF('단어 시험장'!E190="❌","❌","")</f>
        <v/>
      </c>
      <c r="H190" s="23" t="str" cm="1">
        <f t="array" ref="H190">IF(B190="","",IF(COUNTIF($B$2:$B$501,B190)&gt;1,"No."&amp;_xlfn.TEXTJOIN(", ",TRUE,IF(($B$2:$B$501=B190)*(ROW($B$2:$B$501)&lt;&gt;ROW(B190)),""&amp;$A$2:$A$501,"")),""))</f>
        <v/>
      </c>
      <c r="I190" s="10"/>
    </row>
    <row r="191" spans="1:9" x14ac:dyDescent="0.4">
      <c r="A191" s="3">
        <v>190</v>
      </c>
      <c r="B191" s="3" t="s">
        <v>407</v>
      </c>
      <c r="C191" s="3" t="s">
        <v>480</v>
      </c>
      <c r="D191" s="4" t="s">
        <v>698</v>
      </c>
      <c r="E191" s="3"/>
      <c r="F191" s="8">
        <v>45735</v>
      </c>
      <c r="G191" s="19" t="str">
        <f>IF('단어 시험장'!E191="❌","❌","")</f>
        <v/>
      </c>
      <c r="H191" s="23" t="str" cm="1">
        <f t="array" ref="H191">IF(B191="","",IF(COUNTIF($B$2:$B$501,B191)&gt;1,"No."&amp;_xlfn.TEXTJOIN(", ",TRUE,IF(($B$2:$B$501=B191)*(ROW($B$2:$B$501)&lt;&gt;ROW(B191)),""&amp;$A$2:$A$501,"")),""))</f>
        <v/>
      </c>
      <c r="I191" s="10"/>
    </row>
    <row r="192" spans="1:9" x14ac:dyDescent="0.4">
      <c r="A192" s="3">
        <v>191</v>
      </c>
      <c r="B192" s="3" t="s">
        <v>408</v>
      </c>
      <c r="C192" s="3" t="s">
        <v>481</v>
      </c>
      <c r="D192" s="4" t="s">
        <v>699</v>
      </c>
      <c r="E192" s="3"/>
      <c r="F192" s="8">
        <v>45735</v>
      </c>
      <c r="G192" s="19" t="str">
        <f>IF('단어 시험장'!E192="❌","❌","")</f>
        <v/>
      </c>
      <c r="H192" s="23" t="str" cm="1">
        <f t="array" ref="H192">IF(B192="","",IF(COUNTIF($B$2:$B$501,B192)&gt;1,"No."&amp;_xlfn.TEXTJOIN(", ",TRUE,IF(($B$2:$B$501=B192)*(ROW($B$2:$B$501)&lt;&gt;ROW(B192)),""&amp;$A$2:$A$501,"")),""))</f>
        <v/>
      </c>
      <c r="I192" s="10"/>
    </row>
    <row r="193" spans="1:9" x14ac:dyDescent="0.4">
      <c r="A193" s="3">
        <v>192</v>
      </c>
      <c r="B193" s="3" t="s">
        <v>409</v>
      </c>
      <c r="C193" s="3" t="s">
        <v>482</v>
      </c>
      <c r="D193" s="4" t="s">
        <v>700</v>
      </c>
      <c r="E193" s="3"/>
      <c r="F193" s="8">
        <v>45735</v>
      </c>
      <c r="G193" s="19" t="str">
        <f>IF('단어 시험장'!E193="❌","❌","")</f>
        <v/>
      </c>
      <c r="H193" s="23" t="str" cm="1">
        <f t="array" ref="H193">IF(B193="","",IF(COUNTIF($B$2:$B$501,B193)&gt;1,"No."&amp;_xlfn.TEXTJOIN(", ",TRUE,IF(($B$2:$B$501=B193)*(ROW($B$2:$B$501)&lt;&gt;ROW(B193)),""&amp;$A$2:$A$501,"")),""))</f>
        <v/>
      </c>
      <c r="I193" s="10"/>
    </row>
    <row r="194" spans="1:9" x14ac:dyDescent="0.4">
      <c r="A194" s="3">
        <v>193</v>
      </c>
      <c r="B194" s="3" t="s">
        <v>410</v>
      </c>
      <c r="C194" s="3" t="s">
        <v>483</v>
      </c>
      <c r="D194" s="4" t="s">
        <v>701</v>
      </c>
      <c r="E194" s="3"/>
      <c r="F194" s="8">
        <v>45735</v>
      </c>
      <c r="G194" s="19" t="str">
        <f>IF('단어 시험장'!E194="❌","❌","")</f>
        <v/>
      </c>
      <c r="H194" s="23" t="str" cm="1">
        <f t="array" ref="H194">IF(B194="","",IF(COUNTIF($B$2:$B$501,B194)&gt;1,"No."&amp;_xlfn.TEXTJOIN(", ",TRUE,IF(($B$2:$B$501=B194)*(ROW($B$2:$B$501)&lt;&gt;ROW(B194)),""&amp;$A$2:$A$501,"")),""))</f>
        <v/>
      </c>
      <c r="I194" s="10"/>
    </row>
    <row r="195" spans="1:9" x14ac:dyDescent="0.4">
      <c r="A195" s="3">
        <v>194</v>
      </c>
      <c r="B195" s="3" t="s">
        <v>411</v>
      </c>
      <c r="C195" s="3" t="s">
        <v>484</v>
      </c>
      <c r="D195" s="4" t="s">
        <v>704</v>
      </c>
      <c r="E195" s="3"/>
      <c r="F195" s="8">
        <v>45735</v>
      </c>
      <c r="G195" s="19" t="str">
        <f>IF('단어 시험장'!E195="❌","❌","")</f>
        <v/>
      </c>
      <c r="H195" s="23" t="str" cm="1">
        <f t="array" ref="H195">IF(B195="","",IF(COUNTIF($B$2:$B$501,B195)&gt;1,"No."&amp;_xlfn.TEXTJOIN(", ",TRUE,IF(($B$2:$B$501=B195)*(ROW($B$2:$B$501)&lt;&gt;ROW(B195)),""&amp;$A$2:$A$501,"")),""))</f>
        <v/>
      </c>
      <c r="I195" s="10"/>
    </row>
    <row r="196" spans="1:9" x14ac:dyDescent="0.4">
      <c r="A196" s="3">
        <v>195</v>
      </c>
      <c r="B196" s="3" t="s">
        <v>412</v>
      </c>
      <c r="C196" s="3" t="s">
        <v>485</v>
      </c>
      <c r="D196" s="4" t="s">
        <v>705</v>
      </c>
      <c r="E196" s="3"/>
      <c r="F196" s="8">
        <v>45735</v>
      </c>
      <c r="G196" s="19" t="str">
        <f>IF('단어 시험장'!E196="❌","❌","")</f>
        <v/>
      </c>
      <c r="H196" s="23" t="str" cm="1">
        <f t="array" ref="H196">IF(B196="","",IF(COUNTIF($B$2:$B$501,B196)&gt;1,"No."&amp;_xlfn.TEXTJOIN(", ",TRUE,IF(($B$2:$B$501=B196)*(ROW($B$2:$B$501)&lt;&gt;ROW(B196)),""&amp;$A$2:$A$501,"")),""))</f>
        <v/>
      </c>
      <c r="I196" s="10"/>
    </row>
    <row r="197" spans="1:9" x14ac:dyDescent="0.4">
      <c r="A197" s="3">
        <v>196</v>
      </c>
      <c r="B197" s="3" t="s">
        <v>413</v>
      </c>
      <c r="C197" s="3" t="s">
        <v>486</v>
      </c>
      <c r="D197" s="4" t="s">
        <v>708</v>
      </c>
      <c r="E197" s="3"/>
      <c r="F197" s="8">
        <v>45735</v>
      </c>
      <c r="G197" s="19" t="str">
        <f>IF('단어 시험장'!E197="❌","❌","")</f>
        <v/>
      </c>
      <c r="H197" s="23" t="str" cm="1">
        <f t="array" ref="H197">IF(B197="","",IF(COUNTIF($B$2:$B$501,B197)&gt;1,"No."&amp;_xlfn.TEXTJOIN(", ",TRUE,IF(($B$2:$B$501=B197)*(ROW($B$2:$B$501)&lt;&gt;ROW(B197)),""&amp;$A$2:$A$501,"")),""))</f>
        <v/>
      </c>
      <c r="I197" s="10"/>
    </row>
    <row r="198" spans="1:9" x14ac:dyDescent="0.4">
      <c r="A198" s="3">
        <v>197</v>
      </c>
      <c r="B198" s="3" t="s">
        <v>414</v>
      </c>
      <c r="C198" s="3" t="s">
        <v>487</v>
      </c>
      <c r="D198" s="4" t="s">
        <v>709</v>
      </c>
      <c r="E198" s="3"/>
      <c r="F198" s="8">
        <v>45735</v>
      </c>
      <c r="G198" s="19" t="str">
        <f>IF('단어 시험장'!E198="❌","❌","")</f>
        <v/>
      </c>
      <c r="H198" s="23" t="str" cm="1">
        <f t="array" ref="H198">IF(B198="","",IF(COUNTIF($B$2:$B$501,B198)&gt;1,"No."&amp;_xlfn.TEXTJOIN(", ",TRUE,IF(($B$2:$B$501=B198)*(ROW($B$2:$B$501)&lt;&gt;ROW(B198)),""&amp;$A$2:$A$501,"")),""))</f>
        <v/>
      </c>
      <c r="I198" s="10"/>
    </row>
    <row r="199" spans="1:9" x14ac:dyDescent="0.4">
      <c r="A199" s="3">
        <v>198</v>
      </c>
      <c r="B199" s="3" t="s">
        <v>415</v>
      </c>
      <c r="C199" s="3" t="s">
        <v>488</v>
      </c>
      <c r="D199" s="4" t="s">
        <v>710</v>
      </c>
      <c r="E199" s="3"/>
      <c r="F199" s="8">
        <v>45735</v>
      </c>
      <c r="G199" s="19" t="str">
        <f>IF('단어 시험장'!E199="❌","❌","")</f>
        <v/>
      </c>
      <c r="H199" s="23" t="str" cm="1">
        <f t="array" ref="H199">IF(B199="","",IF(COUNTIF($B$2:$B$501,B199)&gt;1,"No."&amp;_xlfn.TEXTJOIN(", ",TRUE,IF(($B$2:$B$501=B199)*(ROW($B$2:$B$501)&lt;&gt;ROW(B199)),""&amp;$A$2:$A$501,"")),""))</f>
        <v/>
      </c>
      <c r="I199" s="10"/>
    </row>
    <row r="200" spans="1:9" x14ac:dyDescent="0.4">
      <c r="A200" s="3">
        <v>199</v>
      </c>
      <c r="B200" s="3" t="s">
        <v>416</v>
      </c>
      <c r="C200" s="3" t="s">
        <v>489</v>
      </c>
      <c r="D200" s="4" t="s">
        <v>711</v>
      </c>
      <c r="E200" s="3"/>
      <c r="F200" s="8">
        <v>45735</v>
      </c>
      <c r="G200" s="19" t="str">
        <f>IF('단어 시험장'!E200="❌","❌","")</f>
        <v/>
      </c>
      <c r="H200" s="23" t="str" cm="1">
        <f t="array" ref="H200">IF(B200="","",IF(COUNTIF($B$2:$B$501,B200)&gt;1,"No."&amp;_xlfn.TEXTJOIN(", ",TRUE,IF(($B$2:$B$501=B200)*(ROW($B$2:$B$501)&lt;&gt;ROW(B200)),""&amp;$A$2:$A$501,"")),""))</f>
        <v/>
      </c>
      <c r="I200" s="10"/>
    </row>
    <row r="201" spans="1:9" x14ac:dyDescent="0.4">
      <c r="A201" s="3">
        <v>200</v>
      </c>
      <c r="B201" s="3" t="s">
        <v>417</v>
      </c>
      <c r="C201" s="3" t="s">
        <v>490</v>
      </c>
      <c r="D201" s="4" t="s">
        <v>712</v>
      </c>
      <c r="E201" s="3"/>
      <c r="F201" s="8">
        <v>45735</v>
      </c>
      <c r="G201" s="19" t="str">
        <f>IF('단어 시험장'!E201="❌","❌","")</f>
        <v/>
      </c>
      <c r="H201" s="23" t="str" cm="1">
        <f t="array" ref="H201">IF(B201="","",IF(COUNTIF($B$2:$B$501,B201)&gt;1,"No."&amp;_xlfn.TEXTJOIN(", ",TRUE,IF(($B$2:$B$501=B201)*(ROW($B$2:$B$501)&lt;&gt;ROW(B201)),""&amp;$A$2:$A$501,"")),""))</f>
        <v/>
      </c>
      <c r="I201" s="10"/>
    </row>
    <row r="202" spans="1:9" x14ac:dyDescent="0.4">
      <c r="A202" s="3">
        <v>201</v>
      </c>
      <c r="B202" s="3" t="s">
        <v>418</v>
      </c>
      <c r="C202" s="3" t="s">
        <v>491</v>
      </c>
      <c r="D202" s="4" t="s">
        <v>715</v>
      </c>
      <c r="E202" s="3"/>
      <c r="F202" s="8">
        <v>45735</v>
      </c>
      <c r="G202" s="19" t="str">
        <f>IF('단어 시험장'!E202="❌","❌","")</f>
        <v/>
      </c>
      <c r="H202" s="23" t="str" cm="1">
        <f t="array" ref="H202">IF(B202="","",IF(COUNTIF($B$2:$B$501,B202)&gt;1,"No."&amp;_xlfn.TEXTJOIN(", ",TRUE,IF(($B$2:$B$501=B202)*(ROW($B$2:$B$501)&lt;&gt;ROW(B202)),""&amp;$A$2:$A$501,"")),""))</f>
        <v/>
      </c>
      <c r="I202" s="10"/>
    </row>
    <row r="203" spans="1:9" x14ac:dyDescent="0.4">
      <c r="A203" s="3">
        <v>202</v>
      </c>
      <c r="B203" s="3" t="s">
        <v>419</v>
      </c>
      <c r="C203" s="3" t="s">
        <v>492</v>
      </c>
      <c r="D203" s="4" t="s">
        <v>716</v>
      </c>
      <c r="E203" s="3"/>
      <c r="F203" s="8">
        <v>45735</v>
      </c>
      <c r="G203" s="19" t="str">
        <f>IF('단어 시험장'!E203="❌","❌","")</f>
        <v/>
      </c>
      <c r="H203" s="23" t="str" cm="1">
        <f t="array" ref="H203">IF(B203="","",IF(COUNTIF($B$2:$B$501,B203)&gt;1,"No."&amp;_xlfn.TEXTJOIN(", ",TRUE,IF(($B$2:$B$501=B203)*(ROW($B$2:$B$501)&lt;&gt;ROW(B203)),""&amp;$A$2:$A$501,"")),""))</f>
        <v/>
      </c>
      <c r="I203" s="10"/>
    </row>
    <row r="204" spans="1:9" x14ac:dyDescent="0.4">
      <c r="A204" s="3">
        <v>203</v>
      </c>
      <c r="B204" s="3" t="s">
        <v>420</v>
      </c>
      <c r="C204" s="3" t="s">
        <v>493</v>
      </c>
      <c r="D204" s="4" t="s">
        <v>719</v>
      </c>
      <c r="E204" s="3"/>
      <c r="F204" s="8">
        <v>45735</v>
      </c>
      <c r="G204" s="19" t="str">
        <f>IF('단어 시험장'!E204="❌","❌","")</f>
        <v/>
      </c>
      <c r="H204" s="23" t="str" cm="1">
        <f t="array" ref="H204">IF(B204="","",IF(COUNTIF($B$2:$B$501,B204)&gt;1,"No."&amp;_xlfn.TEXTJOIN(", ",TRUE,IF(($B$2:$B$501=B204)*(ROW($B$2:$B$501)&lt;&gt;ROW(B204)),""&amp;$A$2:$A$501,"")),""))</f>
        <v/>
      </c>
      <c r="I204" s="10"/>
    </row>
    <row r="205" spans="1:9" x14ac:dyDescent="0.4">
      <c r="A205" s="3">
        <v>204</v>
      </c>
      <c r="B205" s="3" t="s">
        <v>421</v>
      </c>
      <c r="C205" s="3" t="s">
        <v>494</v>
      </c>
      <c r="D205" s="4" t="s">
        <v>720</v>
      </c>
      <c r="E205" s="3"/>
      <c r="F205" s="8">
        <v>45735</v>
      </c>
      <c r="G205" s="19" t="str">
        <f>IF('단어 시험장'!E205="❌","❌","")</f>
        <v/>
      </c>
      <c r="H205" s="23" t="str" cm="1">
        <f t="array" ref="H205">IF(B205="","",IF(COUNTIF($B$2:$B$501,B205)&gt;1,"No."&amp;_xlfn.TEXTJOIN(", ",TRUE,IF(($B$2:$B$501=B205)*(ROW($B$2:$B$501)&lt;&gt;ROW(B205)),""&amp;$A$2:$A$501,"")),""))</f>
        <v/>
      </c>
      <c r="I205" s="10"/>
    </row>
    <row r="206" spans="1:9" x14ac:dyDescent="0.4">
      <c r="A206" s="3">
        <v>205</v>
      </c>
      <c r="B206" s="3" t="s">
        <v>422</v>
      </c>
      <c r="C206" s="3" t="s">
        <v>495</v>
      </c>
      <c r="D206" s="4" t="s">
        <v>721</v>
      </c>
      <c r="E206" s="3"/>
      <c r="F206" s="8">
        <v>45735</v>
      </c>
      <c r="G206" s="19" t="str">
        <f>IF('단어 시험장'!E206="❌","❌","")</f>
        <v/>
      </c>
      <c r="H206" s="23" t="str" cm="1">
        <f t="array" ref="H206">IF(B206="","",IF(COUNTIF($B$2:$B$501,B206)&gt;1,"No."&amp;_xlfn.TEXTJOIN(", ",TRUE,IF(($B$2:$B$501=B206)*(ROW($B$2:$B$501)&lt;&gt;ROW(B206)),""&amp;$A$2:$A$501,"")),""))</f>
        <v/>
      </c>
      <c r="I206" s="10"/>
    </row>
    <row r="207" spans="1:9" x14ac:dyDescent="0.4">
      <c r="A207" s="3">
        <v>206</v>
      </c>
      <c r="B207" s="3" t="s">
        <v>423</v>
      </c>
      <c r="C207" s="3" t="s">
        <v>496</v>
      </c>
      <c r="D207" s="4" t="s">
        <v>738</v>
      </c>
      <c r="E207" s="3"/>
      <c r="F207" s="8">
        <v>45735</v>
      </c>
      <c r="G207" s="19" t="str">
        <f>IF('단어 시험장'!E207="❌","❌","")</f>
        <v/>
      </c>
      <c r="H207" s="23" t="str" cm="1">
        <f t="array" ref="H207">IF(B207="","",IF(COUNTIF($B$2:$B$501,B207)&gt;1,"No."&amp;_xlfn.TEXTJOIN(", ",TRUE,IF(($B$2:$B$501=B207)*(ROW($B$2:$B$501)&lt;&gt;ROW(B207)),""&amp;$A$2:$A$501,"")),""))</f>
        <v>No.412</v>
      </c>
      <c r="I207" s="10"/>
    </row>
    <row r="208" spans="1:9" x14ac:dyDescent="0.4">
      <c r="A208" s="3">
        <v>207</v>
      </c>
      <c r="B208" s="3" t="s">
        <v>424</v>
      </c>
      <c r="C208" s="3" t="s">
        <v>497</v>
      </c>
      <c r="D208" s="4" t="s">
        <v>1314</v>
      </c>
      <c r="E208" s="3"/>
      <c r="F208" s="8">
        <v>45735</v>
      </c>
      <c r="G208" s="19" t="str">
        <f>IF('단어 시험장'!E208="❌","❌","")</f>
        <v/>
      </c>
      <c r="H208" s="23" t="str" cm="1">
        <f t="array" ref="H208">IF(B208="","",IF(COUNTIF($B$2:$B$501,B208)&gt;1,"No."&amp;_xlfn.TEXTJOIN(", ",TRUE,IF(($B$2:$B$501=B208)*(ROW($B$2:$B$501)&lt;&gt;ROW(B208)),""&amp;$A$2:$A$501,"")),""))</f>
        <v/>
      </c>
      <c r="I208" s="10"/>
    </row>
    <row r="209" spans="1:9" x14ac:dyDescent="0.4">
      <c r="A209" s="3">
        <v>208</v>
      </c>
      <c r="B209" s="3" t="s">
        <v>425</v>
      </c>
      <c r="C209" s="3" t="s">
        <v>454</v>
      </c>
      <c r="D209" s="4" t="s">
        <v>741</v>
      </c>
      <c r="E209" s="3"/>
      <c r="F209" s="8">
        <v>45735</v>
      </c>
      <c r="G209" s="19" t="str">
        <f>IF('단어 시험장'!E209="❌","❌","")</f>
        <v/>
      </c>
      <c r="H209" s="23" t="str" cm="1">
        <f t="array" ref="H209">IF(B209="","",IF(COUNTIF($B$2:$B$501,B209)&gt;1,"No."&amp;_xlfn.TEXTJOIN(", ",TRUE,IF(($B$2:$B$501=B209)*(ROW($B$2:$B$501)&lt;&gt;ROW(B209)),""&amp;$A$2:$A$501,"")),""))</f>
        <v/>
      </c>
      <c r="I209" s="10"/>
    </row>
    <row r="210" spans="1:9" x14ac:dyDescent="0.4">
      <c r="A210" s="3">
        <v>209</v>
      </c>
      <c r="B210" s="3" t="s">
        <v>426</v>
      </c>
      <c r="C210" s="3" t="s">
        <v>498</v>
      </c>
      <c r="D210" s="4" t="s">
        <v>744</v>
      </c>
      <c r="E210" s="3"/>
      <c r="F210" s="8">
        <v>45735</v>
      </c>
      <c r="G210" s="19" t="str">
        <f>IF('단어 시험장'!E210="❌","❌","")</f>
        <v/>
      </c>
      <c r="H210" s="23" t="str" cm="1">
        <f t="array" ref="H210">IF(B210="","",IF(COUNTIF($B$2:$B$501,B210)&gt;1,"No."&amp;_xlfn.TEXTJOIN(", ",TRUE,IF(($B$2:$B$501=B210)*(ROW($B$2:$B$501)&lt;&gt;ROW(B210)),""&amp;$A$2:$A$501,"")),""))</f>
        <v/>
      </c>
      <c r="I210" s="10"/>
    </row>
    <row r="211" spans="1:9" x14ac:dyDescent="0.4">
      <c r="A211" s="3">
        <v>210</v>
      </c>
      <c r="B211" s="3" t="s">
        <v>427</v>
      </c>
      <c r="C211" s="3" t="s">
        <v>499</v>
      </c>
      <c r="D211" s="4" t="s">
        <v>747</v>
      </c>
      <c r="E211" s="3"/>
      <c r="F211" s="8">
        <v>45735</v>
      </c>
      <c r="G211" s="19" t="str">
        <f>IF('단어 시험장'!E211="❌","❌","")</f>
        <v/>
      </c>
      <c r="H211" s="23" t="str" cm="1">
        <f t="array" ref="H211">IF(B211="","",IF(COUNTIF($B$2:$B$501,B211)&gt;1,"No."&amp;_xlfn.TEXTJOIN(", ",TRUE,IF(($B$2:$B$501=B211)*(ROW($B$2:$B$501)&lt;&gt;ROW(B211)),""&amp;$A$2:$A$501,"")),""))</f>
        <v/>
      </c>
      <c r="I211" s="10"/>
    </row>
    <row r="212" spans="1:9" x14ac:dyDescent="0.4">
      <c r="A212" s="3">
        <v>211</v>
      </c>
      <c r="B212" s="3" t="s">
        <v>428</v>
      </c>
      <c r="C212" s="3" t="s">
        <v>500</v>
      </c>
      <c r="D212" s="4" t="s">
        <v>748</v>
      </c>
      <c r="E212" s="3"/>
      <c r="F212" s="8">
        <v>45735</v>
      </c>
      <c r="G212" s="19" t="str">
        <f>IF('단어 시험장'!E212="❌","❌","")</f>
        <v/>
      </c>
      <c r="H212" s="23" t="str" cm="1">
        <f t="array" ref="H212">IF(B212="","",IF(COUNTIF($B$2:$B$501,B212)&gt;1,"No."&amp;_xlfn.TEXTJOIN(", ",TRUE,IF(($B$2:$B$501=B212)*(ROW($B$2:$B$501)&lt;&gt;ROW(B212)),""&amp;$A$2:$A$501,"")),""))</f>
        <v>No.394</v>
      </c>
      <c r="I212" s="10"/>
    </row>
    <row r="213" spans="1:9" x14ac:dyDescent="0.4">
      <c r="A213" s="3">
        <v>212</v>
      </c>
      <c r="B213" s="3" t="s">
        <v>429</v>
      </c>
      <c r="C213" s="3" t="s">
        <v>501</v>
      </c>
      <c r="D213" s="4" t="s">
        <v>749</v>
      </c>
      <c r="E213" s="3"/>
      <c r="F213" s="8">
        <v>45735</v>
      </c>
      <c r="G213" s="19" t="str">
        <f>IF('단어 시험장'!E213="❌","❌","")</f>
        <v/>
      </c>
      <c r="H213" s="23" t="str" cm="1">
        <f t="array" ref="H213">IF(B213="","",IF(COUNTIF($B$2:$B$501,B213)&gt;1,"No."&amp;_xlfn.TEXTJOIN(", ",TRUE,IF(($B$2:$B$501=B213)*(ROW($B$2:$B$501)&lt;&gt;ROW(B213)),""&amp;$A$2:$A$501,"")),""))</f>
        <v/>
      </c>
      <c r="I213" s="10"/>
    </row>
    <row r="214" spans="1:9" x14ac:dyDescent="0.4">
      <c r="A214" s="3">
        <v>213</v>
      </c>
      <c r="B214" s="3" t="s">
        <v>430</v>
      </c>
      <c r="C214" s="3" t="s">
        <v>502</v>
      </c>
      <c r="D214" s="4" t="s">
        <v>750</v>
      </c>
      <c r="E214" s="3"/>
      <c r="F214" s="8">
        <v>45735</v>
      </c>
      <c r="G214" s="19" t="str">
        <f>IF('단어 시험장'!E214="❌","❌","")</f>
        <v/>
      </c>
      <c r="H214" s="23" t="str" cm="1">
        <f t="array" ref="H214">IF(B214="","",IF(COUNTIF($B$2:$B$501,B214)&gt;1,"No."&amp;_xlfn.TEXTJOIN(", ",TRUE,IF(($B$2:$B$501=B214)*(ROW($B$2:$B$501)&lt;&gt;ROW(B214)),""&amp;$A$2:$A$501,"")),""))</f>
        <v/>
      </c>
      <c r="I214" s="10"/>
    </row>
    <row r="215" spans="1:9" x14ac:dyDescent="0.4">
      <c r="A215" s="3">
        <v>214</v>
      </c>
      <c r="B215" s="3" t="s">
        <v>431</v>
      </c>
      <c r="C215" s="3" t="s">
        <v>503</v>
      </c>
      <c r="D215" s="4" t="s">
        <v>751</v>
      </c>
      <c r="E215" s="3"/>
      <c r="F215" s="8">
        <v>45735</v>
      </c>
      <c r="G215" s="19" t="str">
        <f>IF('단어 시험장'!E215="❌","❌","")</f>
        <v/>
      </c>
      <c r="H215" s="23" t="str" cm="1">
        <f t="array" ref="H215">IF(B215="","",IF(COUNTIF($B$2:$B$501,B215)&gt;1,"No."&amp;_xlfn.TEXTJOIN(", ",TRUE,IF(($B$2:$B$501=B215)*(ROW($B$2:$B$501)&lt;&gt;ROW(B215)),""&amp;$A$2:$A$501,"")),""))</f>
        <v/>
      </c>
      <c r="I215" s="10"/>
    </row>
    <row r="216" spans="1:9" x14ac:dyDescent="0.4">
      <c r="A216" s="3">
        <v>215</v>
      </c>
      <c r="B216" s="3" t="s">
        <v>432</v>
      </c>
      <c r="C216" s="3" t="s">
        <v>504</v>
      </c>
      <c r="D216" s="4" t="s">
        <v>752</v>
      </c>
      <c r="E216" s="3"/>
      <c r="F216" s="8">
        <v>45735</v>
      </c>
      <c r="G216" s="19" t="str">
        <f>IF('단어 시험장'!E216="❌","❌","")</f>
        <v/>
      </c>
      <c r="H216" s="23" t="str" cm="1">
        <f t="array" ref="H216">IF(B216="","",IF(COUNTIF($B$2:$B$501,B216)&gt;1,"No."&amp;_xlfn.TEXTJOIN(", ",TRUE,IF(($B$2:$B$501=B216)*(ROW($B$2:$B$501)&lt;&gt;ROW(B216)),""&amp;$A$2:$A$501,"")),""))</f>
        <v/>
      </c>
      <c r="I216" s="10"/>
    </row>
    <row r="217" spans="1:9" x14ac:dyDescent="0.4">
      <c r="A217" s="3">
        <v>216</v>
      </c>
      <c r="B217" s="3" t="s">
        <v>433</v>
      </c>
      <c r="C217" s="3" t="s">
        <v>505</v>
      </c>
      <c r="D217" s="4" t="s">
        <v>753</v>
      </c>
      <c r="E217" s="3"/>
      <c r="F217" s="8">
        <v>45735</v>
      </c>
      <c r="G217" s="19" t="str">
        <f>IF('단어 시험장'!E217="❌","❌","")</f>
        <v/>
      </c>
      <c r="H217" s="23" t="str" cm="1">
        <f t="array" ref="H217">IF(B217="","",IF(COUNTIF($B$2:$B$501,B217)&gt;1,"No."&amp;_xlfn.TEXTJOIN(", ",TRUE,IF(($B$2:$B$501=B217)*(ROW($B$2:$B$501)&lt;&gt;ROW(B217)),""&amp;$A$2:$A$501,"")),""))</f>
        <v/>
      </c>
      <c r="I217" s="10"/>
    </row>
    <row r="218" spans="1:9" x14ac:dyDescent="0.4">
      <c r="A218" s="3">
        <v>217</v>
      </c>
      <c r="B218" s="3" t="s">
        <v>434</v>
      </c>
      <c r="C218" s="3" t="s">
        <v>506</v>
      </c>
      <c r="D218" s="4" t="s">
        <v>754</v>
      </c>
      <c r="E218" s="3"/>
      <c r="F218" s="8">
        <v>45735</v>
      </c>
      <c r="G218" s="19" t="str">
        <f>IF('단어 시험장'!E218="❌","❌","")</f>
        <v/>
      </c>
      <c r="H218" s="23" t="str" cm="1">
        <f t="array" ref="H218">IF(B218="","",IF(COUNTIF($B$2:$B$501,B218)&gt;1,"No."&amp;_xlfn.TEXTJOIN(", ",TRUE,IF(($B$2:$B$501=B218)*(ROW($B$2:$B$501)&lt;&gt;ROW(B218)),""&amp;$A$2:$A$501,"")),""))</f>
        <v/>
      </c>
      <c r="I218" s="10"/>
    </row>
    <row r="219" spans="1:9" x14ac:dyDescent="0.4">
      <c r="A219" s="3">
        <v>218</v>
      </c>
      <c r="B219" s="3" t="s">
        <v>435</v>
      </c>
      <c r="C219" s="3" t="s">
        <v>507</v>
      </c>
      <c r="D219" s="4" t="s">
        <v>755</v>
      </c>
      <c r="E219" s="3"/>
      <c r="F219" s="8">
        <v>45735</v>
      </c>
      <c r="G219" s="19" t="str">
        <f>IF('단어 시험장'!E219="❌","❌","")</f>
        <v/>
      </c>
      <c r="H219" s="23" t="str" cm="1">
        <f t="array" ref="H219">IF(B219="","",IF(COUNTIF($B$2:$B$501,B219)&gt;1,"No."&amp;_xlfn.TEXTJOIN(", ",TRUE,IF(($B$2:$B$501=B219)*(ROW($B$2:$B$501)&lt;&gt;ROW(B219)),""&amp;$A$2:$A$501,"")),""))</f>
        <v/>
      </c>
      <c r="I219" s="10"/>
    </row>
    <row r="220" spans="1:9" x14ac:dyDescent="0.4">
      <c r="A220" s="3">
        <v>219</v>
      </c>
      <c r="B220" s="3" t="s">
        <v>436</v>
      </c>
      <c r="C220" s="3" t="s">
        <v>508</v>
      </c>
      <c r="D220" s="4" t="s">
        <v>756</v>
      </c>
      <c r="E220" s="3"/>
      <c r="F220" s="8">
        <v>45735</v>
      </c>
      <c r="G220" s="19" t="str">
        <f>IF('단어 시험장'!E220="❌","❌","")</f>
        <v/>
      </c>
      <c r="H220" s="23" t="str" cm="1">
        <f t="array" ref="H220">IF(B220="","",IF(COUNTIF($B$2:$B$501,B220)&gt;1,"No."&amp;_xlfn.TEXTJOIN(", ",TRUE,IF(($B$2:$B$501=B220)*(ROW($B$2:$B$501)&lt;&gt;ROW(B220)),""&amp;$A$2:$A$501,"")),""))</f>
        <v/>
      </c>
      <c r="I220" s="10"/>
    </row>
    <row r="221" spans="1:9" x14ac:dyDescent="0.4">
      <c r="A221" s="3">
        <v>220</v>
      </c>
      <c r="B221" s="3" t="s">
        <v>437</v>
      </c>
      <c r="C221" s="3" t="s">
        <v>509</v>
      </c>
      <c r="D221" s="4" t="s">
        <v>757</v>
      </c>
      <c r="E221" s="3"/>
      <c r="F221" s="8">
        <v>45735</v>
      </c>
      <c r="G221" s="19" t="str">
        <f>IF('단어 시험장'!E221="❌","❌","")</f>
        <v/>
      </c>
      <c r="H221" s="23" t="str" cm="1">
        <f t="array" ref="H221">IF(B221="","",IF(COUNTIF($B$2:$B$501,B221)&gt;1,"No."&amp;_xlfn.TEXTJOIN(", ",TRUE,IF(($B$2:$B$501=B221)*(ROW($B$2:$B$501)&lt;&gt;ROW(B221)),""&amp;$A$2:$A$501,"")),""))</f>
        <v/>
      </c>
      <c r="I221" s="10"/>
    </row>
    <row r="222" spans="1:9" x14ac:dyDescent="0.4">
      <c r="A222" s="3">
        <v>221</v>
      </c>
      <c r="B222" s="3" t="s">
        <v>438</v>
      </c>
      <c r="C222" s="3" t="s">
        <v>439</v>
      </c>
      <c r="D222" s="4" t="s">
        <v>758</v>
      </c>
      <c r="E222" s="3"/>
      <c r="F222" s="8">
        <v>45735</v>
      </c>
      <c r="G222" s="19" t="str">
        <f>IF('단어 시험장'!E222="❌","❌","")</f>
        <v/>
      </c>
      <c r="H222" s="23" t="str" cm="1">
        <f t="array" ref="H222">IF(B222="","",IF(COUNTIF($B$2:$B$501,B222)&gt;1,"No."&amp;_xlfn.TEXTJOIN(", ",TRUE,IF(($B$2:$B$501=B222)*(ROW($B$2:$B$501)&lt;&gt;ROW(B222)),""&amp;$A$2:$A$501,"")),""))</f>
        <v/>
      </c>
      <c r="I222" s="10"/>
    </row>
    <row r="223" spans="1:9" x14ac:dyDescent="0.4">
      <c r="A223" s="3">
        <v>222</v>
      </c>
      <c r="B223" s="3" t="s">
        <v>440</v>
      </c>
      <c r="C223" s="3" t="s">
        <v>510</v>
      </c>
      <c r="D223" s="4" t="s">
        <v>759</v>
      </c>
      <c r="E223" s="3"/>
      <c r="F223" s="8">
        <v>45735</v>
      </c>
      <c r="G223" s="19" t="str">
        <f>IF('단어 시험장'!E223="❌","❌","")</f>
        <v/>
      </c>
      <c r="H223" s="23" t="str" cm="1">
        <f t="array" ref="H223">IF(B223="","",IF(COUNTIF($B$2:$B$501,B223)&gt;1,"No."&amp;_xlfn.TEXTJOIN(", ",TRUE,IF(($B$2:$B$501=B223)*(ROW($B$2:$B$501)&lt;&gt;ROW(B223)),""&amp;$A$2:$A$501,"")),""))</f>
        <v/>
      </c>
      <c r="I223" s="10"/>
    </row>
    <row r="224" spans="1:9" x14ac:dyDescent="0.4">
      <c r="A224" s="3">
        <v>223</v>
      </c>
      <c r="B224" s="3" t="s">
        <v>441</v>
      </c>
      <c r="C224" s="3" t="s">
        <v>511</v>
      </c>
      <c r="D224" s="4" t="s">
        <v>760</v>
      </c>
      <c r="E224" s="3"/>
      <c r="F224" s="8">
        <v>45735</v>
      </c>
      <c r="G224" s="19" t="str">
        <f>IF('단어 시험장'!E224="❌","❌","")</f>
        <v/>
      </c>
      <c r="H224" s="23" t="str" cm="1">
        <f t="array" ref="H224">IF(B224="","",IF(COUNTIF($B$2:$B$501,B224)&gt;1,"No."&amp;_xlfn.TEXTJOIN(", ",TRUE,IF(($B$2:$B$501=B224)*(ROW($B$2:$B$501)&lt;&gt;ROW(B224)),""&amp;$A$2:$A$501,"")),""))</f>
        <v/>
      </c>
      <c r="I224" s="10"/>
    </row>
    <row r="225" spans="1:9" x14ac:dyDescent="0.4">
      <c r="A225" s="3">
        <v>224</v>
      </c>
      <c r="B225" s="3" t="s">
        <v>442</v>
      </c>
      <c r="C225" s="3" t="s">
        <v>512</v>
      </c>
      <c r="D225" s="4" t="s">
        <v>761</v>
      </c>
      <c r="E225" s="3"/>
      <c r="F225" s="8">
        <v>45735</v>
      </c>
      <c r="G225" s="19" t="str">
        <f>IF('단어 시험장'!E225="❌","❌","")</f>
        <v/>
      </c>
      <c r="H225" s="23" t="str" cm="1">
        <f t="array" ref="H225">IF(B225="","",IF(COUNTIF($B$2:$B$501,B225)&gt;1,"No."&amp;_xlfn.TEXTJOIN(", ",TRUE,IF(($B$2:$B$501=B225)*(ROW($B$2:$B$501)&lt;&gt;ROW(B225)),""&amp;$A$2:$A$501,"")),""))</f>
        <v/>
      </c>
      <c r="I225" s="10"/>
    </row>
    <row r="226" spans="1:9" x14ac:dyDescent="0.4">
      <c r="A226" s="3">
        <v>225</v>
      </c>
      <c r="B226" s="3" t="s">
        <v>443</v>
      </c>
      <c r="C226" s="3" t="s">
        <v>513</v>
      </c>
      <c r="D226" s="4" t="s">
        <v>762</v>
      </c>
      <c r="E226" s="3"/>
      <c r="F226" s="8">
        <v>45735</v>
      </c>
      <c r="G226" s="19" t="str">
        <f>IF('단어 시험장'!E226="❌","❌","")</f>
        <v/>
      </c>
      <c r="H226" s="23" t="str" cm="1">
        <f t="array" ref="H226">IF(B226="","",IF(COUNTIF($B$2:$B$501,B226)&gt;1,"No."&amp;_xlfn.TEXTJOIN(", ",TRUE,IF(($B$2:$B$501=B226)*(ROW($B$2:$B$501)&lt;&gt;ROW(B226)),""&amp;$A$2:$A$501,"")),""))</f>
        <v/>
      </c>
      <c r="I226" s="10"/>
    </row>
    <row r="227" spans="1:9" x14ac:dyDescent="0.4">
      <c r="A227" s="3">
        <v>226</v>
      </c>
      <c r="B227" s="3" t="s">
        <v>444</v>
      </c>
      <c r="C227" s="3" t="s">
        <v>514</v>
      </c>
      <c r="D227" s="4" t="s">
        <v>765</v>
      </c>
      <c r="E227" s="3"/>
      <c r="F227" s="8">
        <v>45735</v>
      </c>
      <c r="G227" s="19" t="str">
        <f>IF('단어 시험장'!E227="❌","❌","")</f>
        <v/>
      </c>
      <c r="H227" s="23" t="str" cm="1">
        <f t="array" ref="H227">IF(B227="","",IF(COUNTIF($B$2:$B$501,B227)&gt;1,"No."&amp;_xlfn.TEXTJOIN(", ",TRUE,IF(($B$2:$B$501=B227)*(ROW($B$2:$B$501)&lt;&gt;ROW(B227)),""&amp;$A$2:$A$501,"")),""))</f>
        <v/>
      </c>
      <c r="I227" s="10"/>
    </row>
    <row r="228" spans="1:9" x14ac:dyDescent="0.4">
      <c r="A228" s="3">
        <v>227</v>
      </c>
      <c r="B228" s="3" t="s">
        <v>445</v>
      </c>
      <c r="C228" s="3" t="s">
        <v>515</v>
      </c>
      <c r="D228" s="4" t="s">
        <v>766</v>
      </c>
      <c r="E228" s="3"/>
      <c r="F228" s="8">
        <v>45735</v>
      </c>
      <c r="G228" s="19" t="str">
        <f>IF('단어 시험장'!E228="❌","❌","")</f>
        <v/>
      </c>
      <c r="H228" s="23" t="str" cm="1">
        <f t="array" ref="H228">IF(B228="","",IF(COUNTIF($B$2:$B$501,B228)&gt;1,"No."&amp;_xlfn.TEXTJOIN(", ",TRUE,IF(($B$2:$B$501=B228)*(ROW($B$2:$B$501)&lt;&gt;ROW(B228)),""&amp;$A$2:$A$501,"")),""))</f>
        <v/>
      </c>
      <c r="I228" s="10"/>
    </row>
    <row r="229" spans="1:9" x14ac:dyDescent="0.4">
      <c r="A229" s="3">
        <v>228</v>
      </c>
      <c r="B229" s="3" t="s">
        <v>446</v>
      </c>
      <c r="C229" s="3" t="s">
        <v>516</v>
      </c>
      <c r="D229" s="4" t="s">
        <v>768</v>
      </c>
      <c r="E229" s="3"/>
      <c r="F229" s="8">
        <v>45735</v>
      </c>
      <c r="G229" s="19" t="str">
        <f>IF('단어 시험장'!E229="❌","❌","")</f>
        <v/>
      </c>
      <c r="H229" s="23" t="str" cm="1">
        <f t="array" ref="H229">IF(B229="","",IF(COUNTIF($B$2:$B$501,B229)&gt;1,"No."&amp;_xlfn.TEXTJOIN(", ",TRUE,IF(($B$2:$B$501=B229)*(ROW($B$2:$B$501)&lt;&gt;ROW(B229)),""&amp;$A$2:$A$501,"")),""))</f>
        <v/>
      </c>
      <c r="I229" s="10"/>
    </row>
    <row r="230" spans="1:9" x14ac:dyDescent="0.4">
      <c r="A230" s="3">
        <v>229</v>
      </c>
      <c r="B230" s="3" t="s">
        <v>447</v>
      </c>
      <c r="C230" s="3" t="s">
        <v>517</v>
      </c>
      <c r="D230" s="4" t="s">
        <v>769</v>
      </c>
      <c r="E230" s="3"/>
      <c r="F230" s="8">
        <v>45735</v>
      </c>
      <c r="G230" s="19" t="str">
        <f>IF('단어 시험장'!E230="❌","❌","")</f>
        <v/>
      </c>
      <c r="H230" s="23" t="str" cm="1">
        <f t="array" ref="H230">IF(B230="","",IF(COUNTIF($B$2:$B$501,B230)&gt;1,"No."&amp;_xlfn.TEXTJOIN(", ",TRUE,IF(($B$2:$B$501=B230)*(ROW($B$2:$B$501)&lt;&gt;ROW(B230)),""&amp;$A$2:$A$501,"")),""))</f>
        <v/>
      </c>
      <c r="I230" s="10"/>
    </row>
    <row r="231" spans="1:9" x14ac:dyDescent="0.4">
      <c r="A231" s="3">
        <v>230</v>
      </c>
      <c r="B231" s="3" t="s">
        <v>448</v>
      </c>
      <c r="C231" s="3" t="s">
        <v>518</v>
      </c>
      <c r="D231" s="4" t="s">
        <v>770</v>
      </c>
      <c r="E231" s="3"/>
      <c r="F231" s="8">
        <v>45735</v>
      </c>
      <c r="G231" s="19" t="str">
        <f>IF('단어 시험장'!E231="❌","❌","")</f>
        <v/>
      </c>
      <c r="H231" s="23" t="str" cm="1">
        <f t="array" ref="H231">IF(B231="","",IF(COUNTIF($B$2:$B$501,B231)&gt;1,"No."&amp;_xlfn.TEXTJOIN(", ",TRUE,IF(($B$2:$B$501=B231)*(ROW($B$2:$B$501)&lt;&gt;ROW(B231)),""&amp;$A$2:$A$501,"")),""))</f>
        <v/>
      </c>
      <c r="I231" s="10"/>
    </row>
    <row r="232" spans="1:9" x14ac:dyDescent="0.4">
      <c r="A232" s="3">
        <v>231</v>
      </c>
      <c r="B232" s="3" t="s">
        <v>449</v>
      </c>
      <c r="C232" s="3" t="s">
        <v>519</v>
      </c>
      <c r="D232" s="4" t="s">
        <v>771</v>
      </c>
      <c r="E232" s="3"/>
      <c r="F232" s="8">
        <v>45735</v>
      </c>
      <c r="G232" s="19" t="str">
        <f>IF('단어 시험장'!E232="❌","❌","")</f>
        <v/>
      </c>
      <c r="H232" s="23" t="str" cm="1">
        <f t="array" ref="H232">IF(B232="","",IF(COUNTIF($B$2:$B$501,B232)&gt;1,"No."&amp;_xlfn.TEXTJOIN(", ",TRUE,IF(($B$2:$B$501=B232)*(ROW($B$2:$B$501)&lt;&gt;ROW(B232)),""&amp;$A$2:$A$501,"")),""))</f>
        <v/>
      </c>
      <c r="I232" s="10"/>
    </row>
    <row r="233" spans="1:9" x14ac:dyDescent="0.4">
      <c r="A233" s="3">
        <v>232</v>
      </c>
      <c r="B233" s="3" t="s">
        <v>450</v>
      </c>
      <c r="C233" s="3" t="s">
        <v>520</v>
      </c>
      <c r="D233" s="4" t="s">
        <v>772</v>
      </c>
      <c r="E233" s="3"/>
      <c r="F233" s="8">
        <v>45735</v>
      </c>
      <c r="G233" s="19" t="str">
        <f>IF('단어 시험장'!E233="❌","❌","")</f>
        <v/>
      </c>
      <c r="H233" s="23" t="str" cm="1">
        <f t="array" ref="H233">IF(B233="","",IF(COUNTIF($B$2:$B$501,B233)&gt;1,"No."&amp;_xlfn.TEXTJOIN(", ",TRUE,IF(($B$2:$B$501=B233)*(ROW($B$2:$B$501)&lt;&gt;ROW(B233)),""&amp;$A$2:$A$501,"")),""))</f>
        <v/>
      </c>
      <c r="I233" s="10"/>
    </row>
    <row r="234" spans="1:9" x14ac:dyDescent="0.4">
      <c r="A234" s="3">
        <v>233</v>
      </c>
      <c r="B234" s="3" t="s">
        <v>546</v>
      </c>
      <c r="C234" s="3" t="s">
        <v>549</v>
      </c>
      <c r="D234" s="4" t="s">
        <v>775</v>
      </c>
      <c r="E234" s="3"/>
      <c r="F234" s="8">
        <v>45735</v>
      </c>
      <c r="G234" s="19" t="str">
        <f>IF('단어 시험장'!E234="❌","❌","")</f>
        <v/>
      </c>
      <c r="H234" s="23" t="str" cm="1">
        <f t="array" ref="H234">IF(B234="","",IF(COUNTIF($B$2:$B$501,B234)&gt;1,"No."&amp;_xlfn.TEXTJOIN(", ",TRUE,IF(($B$2:$B$501=B234)*(ROW($B$2:$B$501)&lt;&gt;ROW(B234)),""&amp;$A$2:$A$501,"")),""))</f>
        <v/>
      </c>
      <c r="I234" s="10"/>
    </row>
    <row r="235" spans="1:9" x14ac:dyDescent="0.4">
      <c r="A235" s="3">
        <v>234</v>
      </c>
      <c r="B235" s="5" t="s">
        <v>570</v>
      </c>
      <c r="C235" s="5" t="s">
        <v>571</v>
      </c>
      <c r="D235" s="4" t="s">
        <v>776</v>
      </c>
      <c r="E235" s="3"/>
      <c r="F235" s="8">
        <v>45735</v>
      </c>
      <c r="G235" s="19" t="str">
        <f>IF('단어 시험장'!E235="❌","❌","")</f>
        <v/>
      </c>
      <c r="H235" s="23" t="str" cm="1">
        <f t="array" ref="H235">IF(B235="","",IF(COUNTIF($B$2:$B$501,B235)&gt;1,"No."&amp;_xlfn.TEXTJOIN(", ",TRUE,IF(($B$2:$B$501=B235)*(ROW($B$2:$B$501)&lt;&gt;ROW(B235)),""&amp;$A$2:$A$501,"")),""))</f>
        <v/>
      </c>
      <c r="I235" s="10"/>
    </row>
    <row r="236" spans="1:9" x14ac:dyDescent="0.4">
      <c r="A236" s="3">
        <v>235</v>
      </c>
      <c r="B236" s="3" t="s">
        <v>547</v>
      </c>
      <c r="C236" s="3" t="s">
        <v>548</v>
      </c>
      <c r="D236" s="4" t="s">
        <v>777</v>
      </c>
      <c r="E236" s="3"/>
      <c r="F236" s="8">
        <v>45735</v>
      </c>
      <c r="G236" s="19" t="str">
        <f>IF('단어 시험장'!E236="❌","❌","")</f>
        <v/>
      </c>
      <c r="H236" s="23" t="str" cm="1">
        <f t="array" ref="H236">IF(B236="","",IF(COUNTIF($B$2:$B$501,B236)&gt;1,"No."&amp;_xlfn.TEXTJOIN(", ",TRUE,IF(($B$2:$B$501=B236)*(ROW($B$2:$B$501)&lt;&gt;ROW(B236)),""&amp;$A$2:$A$501,"")),""))</f>
        <v/>
      </c>
      <c r="I236" s="10"/>
    </row>
    <row r="237" spans="1:9" x14ac:dyDescent="0.4">
      <c r="A237" s="3">
        <v>236</v>
      </c>
      <c r="B237" s="3" t="s">
        <v>550</v>
      </c>
      <c r="C237" s="3" t="s">
        <v>551</v>
      </c>
      <c r="D237" s="4" t="s">
        <v>778</v>
      </c>
      <c r="E237" s="3"/>
      <c r="F237" s="8">
        <v>45735</v>
      </c>
      <c r="G237" s="19" t="str">
        <f>IF('단어 시험장'!E237="❌","❌","")</f>
        <v/>
      </c>
      <c r="H237" s="23" t="str" cm="1">
        <f t="array" ref="H237">IF(B237="","",IF(COUNTIF($B$2:$B$501,B237)&gt;1,"No."&amp;_xlfn.TEXTJOIN(", ",TRUE,IF(($B$2:$B$501=B237)*(ROW($B$2:$B$501)&lt;&gt;ROW(B237)),""&amp;$A$2:$A$501,"")),""))</f>
        <v/>
      </c>
      <c r="I237" s="10"/>
    </row>
    <row r="238" spans="1:9" x14ac:dyDescent="0.4">
      <c r="A238" s="3">
        <v>237</v>
      </c>
      <c r="B238" s="3" t="s">
        <v>553</v>
      </c>
      <c r="C238" s="3" t="s">
        <v>554</v>
      </c>
      <c r="D238" s="4" t="s">
        <v>779</v>
      </c>
      <c r="E238" s="3"/>
      <c r="F238" s="8">
        <v>45735</v>
      </c>
      <c r="G238" s="19" t="str">
        <f>IF('단어 시험장'!E238="❌","❌","")</f>
        <v/>
      </c>
      <c r="H238" s="23" t="str" cm="1">
        <f t="array" ref="H238">IF(B238="","",IF(COUNTIF($B$2:$B$501,B238)&gt;1,"No."&amp;_xlfn.TEXTJOIN(", ",TRUE,IF(($B$2:$B$501=B238)*(ROW($B$2:$B$501)&lt;&gt;ROW(B238)),""&amp;$A$2:$A$501,"")),""))</f>
        <v/>
      </c>
      <c r="I238" s="10"/>
    </row>
    <row r="239" spans="1:9" x14ac:dyDescent="0.4">
      <c r="A239" s="3">
        <v>238</v>
      </c>
      <c r="B239" s="3" t="s">
        <v>568</v>
      </c>
      <c r="C239" s="3" t="s">
        <v>569</v>
      </c>
      <c r="D239" s="4" t="s">
        <v>782</v>
      </c>
      <c r="E239" s="3"/>
      <c r="F239" s="8">
        <v>45735</v>
      </c>
      <c r="G239" s="19" t="str">
        <f>IF('단어 시험장'!E239="❌","❌","")</f>
        <v/>
      </c>
      <c r="H239" s="23" t="str" cm="1">
        <f t="array" ref="H239">IF(B239="","",IF(COUNTIF($B$2:$B$501,B239)&gt;1,"No."&amp;_xlfn.TEXTJOIN(", ",TRUE,IF(($B$2:$B$501=B239)*(ROW($B$2:$B$501)&lt;&gt;ROW(B239)),""&amp;$A$2:$A$501,"")),""))</f>
        <v/>
      </c>
      <c r="I239" s="10"/>
    </row>
    <row r="240" spans="1:9" x14ac:dyDescent="0.4">
      <c r="A240" s="3">
        <v>239</v>
      </c>
      <c r="B240" s="3" t="s">
        <v>574</v>
      </c>
      <c r="C240" s="3" t="s">
        <v>575</v>
      </c>
      <c r="D240" s="4" t="s">
        <v>783</v>
      </c>
      <c r="E240" s="3"/>
      <c r="F240" s="8">
        <v>45735</v>
      </c>
      <c r="G240" s="19" t="str">
        <f>IF('단어 시험장'!E240="❌","❌","")</f>
        <v/>
      </c>
      <c r="H240" s="23" t="str" cm="1">
        <f t="array" ref="H240">IF(B240="","",IF(COUNTIF($B$2:$B$501,B240)&gt;1,"No."&amp;_xlfn.TEXTJOIN(", ",TRUE,IF(($B$2:$B$501=B240)*(ROW($B$2:$B$501)&lt;&gt;ROW(B240)),""&amp;$A$2:$A$501,"")),""))</f>
        <v/>
      </c>
      <c r="I240" s="10"/>
    </row>
    <row r="241" spans="1:9" x14ac:dyDescent="0.4">
      <c r="A241" s="3">
        <v>240</v>
      </c>
      <c r="B241" s="3" t="s">
        <v>577</v>
      </c>
      <c r="C241" s="3" t="s">
        <v>578</v>
      </c>
      <c r="D241" s="4" t="s">
        <v>784</v>
      </c>
      <c r="E241" s="3"/>
      <c r="F241" s="8">
        <v>45735</v>
      </c>
      <c r="G241" s="19" t="str">
        <f>IF('단어 시험장'!E241="❌","❌","")</f>
        <v/>
      </c>
      <c r="H241" s="23" t="str" cm="1">
        <f t="array" ref="H241">IF(B241="","",IF(COUNTIF($B$2:$B$501,B241)&gt;1,"No."&amp;_xlfn.TEXTJOIN(", ",TRUE,IF(($B$2:$B$501=B241)*(ROW($B$2:$B$501)&lt;&gt;ROW(B241)),""&amp;$A$2:$A$501,"")),""))</f>
        <v/>
      </c>
      <c r="I241" s="10"/>
    </row>
    <row r="242" spans="1:9" x14ac:dyDescent="0.4">
      <c r="A242" s="3">
        <v>241</v>
      </c>
      <c r="B242" s="3" t="s">
        <v>588</v>
      </c>
      <c r="C242" s="3" t="s">
        <v>590</v>
      </c>
      <c r="D242" s="4" t="s">
        <v>785</v>
      </c>
      <c r="E242" s="3"/>
      <c r="F242" s="8">
        <v>45735</v>
      </c>
      <c r="G242" s="19" t="str">
        <f>IF('단어 시험장'!E242="❌","❌","")</f>
        <v/>
      </c>
      <c r="H242" s="23" t="str" cm="1">
        <f t="array" ref="H242">IF(B242="","",IF(COUNTIF($B$2:$B$501,B242)&gt;1,"No."&amp;_xlfn.TEXTJOIN(", ",TRUE,IF(($B$2:$B$501=B242)*(ROW($B$2:$B$501)&lt;&gt;ROW(B242)),""&amp;$A$2:$A$501,"")),""))</f>
        <v/>
      </c>
      <c r="I242" s="10"/>
    </row>
    <row r="243" spans="1:9" x14ac:dyDescent="0.4">
      <c r="A243" s="3">
        <v>242</v>
      </c>
      <c r="B243" s="3" t="s">
        <v>589</v>
      </c>
      <c r="C243" s="3" t="s">
        <v>591</v>
      </c>
      <c r="D243" s="4" t="s">
        <v>788</v>
      </c>
      <c r="E243" s="3"/>
      <c r="F243" s="8">
        <v>45735</v>
      </c>
      <c r="G243" s="19" t="str">
        <f>IF('단어 시험장'!E243="❌","❌","")</f>
        <v/>
      </c>
      <c r="H243" s="23" t="str" cm="1">
        <f t="array" ref="H243">IF(B243="","",IF(COUNTIF($B$2:$B$501,B243)&gt;1,"No."&amp;_xlfn.TEXTJOIN(", ",TRUE,IF(($B$2:$B$501=B243)*(ROW($B$2:$B$501)&lt;&gt;ROW(B243)),""&amp;$A$2:$A$501,"")),""))</f>
        <v/>
      </c>
      <c r="I243" s="10"/>
    </row>
    <row r="244" spans="1:9" x14ac:dyDescent="0.4">
      <c r="A244" s="3">
        <v>243</v>
      </c>
      <c r="B244" s="3" t="s">
        <v>615</v>
      </c>
      <c r="C244" s="3" t="s">
        <v>616</v>
      </c>
      <c r="D244" s="4" t="s">
        <v>789</v>
      </c>
      <c r="E244" s="3"/>
      <c r="F244" s="8">
        <v>45735</v>
      </c>
      <c r="G244" s="19" t="str">
        <f>IF('단어 시험장'!E244="❌","❌","")</f>
        <v/>
      </c>
      <c r="H244" s="23" t="str" cm="1">
        <f t="array" ref="H244">IF(B244="","",IF(COUNTIF($B$2:$B$501,B244)&gt;1,"No."&amp;_xlfn.TEXTJOIN(", ",TRUE,IF(($B$2:$B$501=B244)*(ROW($B$2:$B$501)&lt;&gt;ROW(B244)),""&amp;$A$2:$A$501,"")),""))</f>
        <v/>
      </c>
      <c r="I244" s="10"/>
    </row>
    <row r="245" spans="1:9" x14ac:dyDescent="0.4">
      <c r="A245" s="3">
        <v>244</v>
      </c>
      <c r="B245" s="3" t="s">
        <v>618</v>
      </c>
      <c r="C245" s="3" t="s">
        <v>619</v>
      </c>
      <c r="D245" s="4" t="s">
        <v>790</v>
      </c>
      <c r="E245" s="3"/>
      <c r="F245" s="8">
        <v>45735</v>
      </c>
      <c r="G245" s="19" t="str">
        <f>IF('단어 시험장'!E245="❌","❌","")</f>
        <v/>
      </c>
      <c r="H245" s="23" t="str" cm="1">
        <f t="array" ref="H245">IF(B245="","",IF(COUNTIF($B$2:$B$501,B245)&gt;1,"No."&amp;_xlfn.TEXTJOIN(", ",TRUE,IF(($B$2:$B$501=B245)*(ROW($B$2:$B$501)&lt;&gt;ROW(B245)),""&amp;$A$2:$A$501,"")),""))</f>
        <v/>
      </c>
      <c r="I245" s="10"/>
    </row>
    <row r="246" spans="1:9" x14ac:dyDescent="0.4">
      <c r="A246" s="3">
        <v>245</v>
      </c>
      <c r="B246" s="3" t="s">
        <v>623</v>
      </c>
      <c r="C246" s="3" t="s">
        <v>624</v>
      </c>
      <c r="D246" s="4" t="s">
        <v>791</v>
      </c>
      <c r="E246" s="3"/>
      <c r="F246" s="8">
        <v>45735</v>
      </c>
      <c r="G246" s="19" t="str">
        <f>IF('단어 시험장'!E246="❌","❌","")</f>
        <v/>
      </c>
      <c r="H246" s="23" t="str" cm="1">
        <f t="array" ref="H246">IF(B246="","",IF(COUNTIF($B$2:$B$501,B246)&gt;1,"No."&amp;_xlfn.TEXTJOIN(", ",TRUE,IF(($B$2:$B$501=B246)*(ROW($B$2:$B$501)&lt;&gt;ROW(B246)),""&amp;$A$2:$A$501,"")),""))</f>
        <v/>
      </c>
      <c r="I246" s="10"/>
    </row>
    <row r="247" spans="1:9" x14ac:dyDescent="0.4">
      <c r="A247" s="3">
        <v>246</v>
      </c>
      <c r="B247" s="3" t="s">
        <v>628</v>
      </c>
      <c r="C247" s="3" t="s">
        <v>629</v>
      </c>
      <c r="D247" s="4" t="s">
        <v>792</v>
      </c>
      <c r="E247" s="3"/>
      <c r="F247" s="8">
        <v>45735</v>
      </c>
      <c r="G247" s="19" t="str">
        <f>IF('단어 시험장'!E247="❌","❌","")</f>
        <v/>
      </c>
      <c r="H247" s="23" t="str" cm="1">
        <f t="array" ref="H247">IF(B247="","",IF(COUNTIF($B$2:$B$501,B247)&gt;1,"No."&amp;_xlfn.TEXTJOIN(", ",TRUE,IF(($B$2:$B$501=B247)*(ROW($B$2:$B$501)&lt;&gt;ROW(B247)),""&amp;$A$2:$A$501,"")),""))</f>
        <v/>
      </c>
      <c r="I247" s="10"/>
    </row>
    <row r="248" spans="1:9" x14ac:dyDescent="0.4">
      <c r="A248" s="3">
        <v>247</v>
      </c>
      <c r="B248" s="3" t="s">
        <v>638</v>
      </c>
      <c r="C248" s="3" t="s">
        <v>639</v>
      </c>
      <c r="D248" s="4" t="s">
        <v>793</v>
      </c>
      <c r="E248" s="3"/>
      <c r="F248" s="8">
        <v>45735</v>
      </c>
      <c r="G248" s="19" t="str">
        <f>IF('단어 시험장'!E248="❌","❌","")</f>
        <v/>
      </c>
      <c r="H248" s="23" t="str" cm="1">
        <f t="array" ref="H248">IF(B248="","",IF(COUNTIF($B$2:$B$501,B248)&gt;1,"No."&amp;_xlfn.TEXTJOIN(", ",TRUE,IF(($B$2:$B$501=B248)*(ROW($B$2:$B$501)&lt;&gt;ROW(B248)),""&amp;$A$2:$A$501,"")),""))</f>
        <v/>
      </c>
      <c r="I248" s="10"/>
    </row>
    <row r="249" spans="1:9" x14ac:dyDescent="0.4">
      <c r="A249" s="3">
        <v>248</v>
      </c>
      <c r="B249" s="3" t="s">
        <v>641</v>
      </c>
      <c r="C249" s="3" t="s">
        <v>642</v>
      </c>
      <c r="D249" s="4" t="s">
        <v>794</v>
      </c>
      <c r="E249" s="3"/>
      <c r="F249" s="8">
        <v>45735</v>
      </c>
      <c r="G249" s="19" t="str">
        <f>IF('단어 시험장'!E249="❌","❌","")</f>
        <v/>
      </c>
      <c r="H249" s="23" t="str" cm="1">
        <f t="array" ref="H249">IF(B249="","",IF(COUNTIF($B$2:$B$501,B249)&gt;1,"No."&amp;_xlfn.TEXTJOIN(", ",TRUE,IF(($B$2:$B$501=B249)*(ROW($B$2:$B$501)&lt;&gt;ROW(B249)),""&amp;$A$2:$A$501,"")),""))</f>
        <v/>
      </c>
      <c r="I249" s="10"/>
    </row>
    <row r="250" spans="1:9" x14ac:dyDescent="0.4">
      <c r="A250" s="3">
        <v>249</v>
      </c>
      <c r="B250" s="3" t="s">
        <v>658</v>
      </c>
      <c r="C250" s="3" t="s">
        <v>659</v>
      </c>
      <c r="D250" s="4" t="s">
        <v>795</v>
      </c>
      <c r="E250" s="3"/>
      <c r="F250" s="8">
        <v>45735</v>
      </c>
      <c r="G250" s="19" t="str">
        <f>IF('단어 시험장'!E250="❌","❌","")</f>
        <v/>
      </c>
      <c r="H250" s="23" t="str" cm="1">
        <f t="array" ref="H250">IF(B250="","",IF(COUNTIF($B$2:$B$501,B250)&gt;1,"No."&amp;_xlfn.TEXTJOIN(", ",TRUE,IF(($B$2:$B$501=B250)*(ROW($B$2:$B$501)&lt;&gt;ROW(B250)),""&amp;$A$2:$A$501,"")),""))</f>
        <v/>
      </c>
      <c r="I250" s="10"/>
    </row>
    <row r="251" spans="1:9" x14ac:dyDescent="0.4">
      <c r="A251" s="3">
        <v>250</v>
      </c>
      <c r="B251" s="3" t="s">
        <v>679</v>
      </c>
      <c r="C251" s="3" t="s">
        <v>680</v>
      </c>
      <c r="D251" s="4" t="s">
        <v>798</v>
      </c>
      <c r="E251" s="3"/>
      <c r="F251" s="8">
        <v>45735</v>
      </c>
      <c r="G251" s="19" t="str">
        <f>IF('단어 시험장'!E251="❌","❌","")</f>
        <v/>
      </c>
      <c r="H251" s="23" t="str" cm="1">
        <f t="array" ref="H251">IF(B251="","",IF(COUNTIF($B$2:$B$501,B251)&gt;1,"No."&amp;_xlfn.TEXTJOIN(", ",TRUE,IF(($B$2:$B$501=B251)*(ROW($B$2:$B$501)&lt;&gt;ROW(B251)),""&amp;$A$2:$A$501,"")),""))</f>
        <v/>
      </c>
      <c r="I251" s="10"/>
    </row>
    <row r="252" spans="1:9" x14ac:dyDescent="0.4">
      <c r="A252" s="3">
        <v>251</v>
      </c>
      <c r="B252" s="3" t="s">
        <v>684</v>
      </c>
      <c r="C252" s="3" t="s">
        <v>685</v>
      </c>
      <c r="D252" s="4" t="s">
        <v>799</v>
      </c>
      <c r="E252" s="3"/>
      <c r="F252" s="8">
        <v>45735</v>
      </c>
      <c r="G252" s="19" t="str">
        <f>IF('단어 시험장'!E252="❌","❌","")</f>
        <v/>
      </c>
      <c r="H252" s="23" t="str" cm="1">
        <f t="array" ref="H252">IF(B252="","",IF(COUNTIF($B$2:$B$501,B252)&gt;1,"No."&amp;_xlfn.TEXTJOIN(", ",TRUE,IF(($B$2:$B$501=B252)*(ROW($B$2:$B$501)&lt;&gt;ROW(B252)),""&amp;$A$2:$A$501,"")),""))</f>
        <v/>
      </c>
      <c r="I252" s="10"/>
    </row>
    <row r="253" spans="1:9" x14ac:dyDescent="0.4">
      <c r="A253" s="3">
        <v>252</v>
      </c>
      <c r="B253" s="3" t="s">
        <v>686</v>
      </c>
      <c r="C253" s="3" t="s">
        <v>687</v>
      </c>
      <c r="D253" s="4" t="s">
        <v>802</v>
      </c>
      <c r="E253" s="3"/>
      <c r="F253" s="8">
        <v>45735</v>
      </c>
      <c r="G253" s="19" t="str">
        <f>IF('단어 시험장'!E253="❌","❌","")</f>
        <v/>
      </c>
      <c r="H253" s="23" t="str" cm="1">
        <f t="array" ref="H253">IF(B253="","",IF(COUNTIF($B$2:$B$501,B253)&gt;1,"No."&amp;_xlfn.TEXTJOIN(", ",TRUE,IF(($B$2:$B$501=B253)*(ROW($B$2:$B$501)&lt;&gt;ROW(B253)),""&amp;$A$2:$A$501,"")),""))</f>
        <v/>
      </c>
      <c r="I253" s="10"/>
    </row>
    <row r="254" spans="1:9" x14ac:dyDescent="0.4">
      <c r="A254" s="3">
        <v>253</v>
      </c>
      <c r="B254" s="3" t="s">
        <v>702</v>
      </c>
      <c r="C254" s="3" t="s">
        <v>703</v>
      </c>
      <c r="D254" s="4" t="s">
        <v>803</v>
      </c>
      <c r="E254" s="3"/>
      <c r="F254" s="8">
        <v>45735</v>
      </c>
      <c r="G254" s="19" t="str">
        <f>IF('단어 시험장'!E254="❌","❌","")</f>
        <v/>
      </c>
      <c r="H254" s="23" t="str" cm="1">
        <f t="array" ref="H254">IF(B254="","",IF(COUNTIF($B$2:$B$501,B254)&gt;1,"No."&amp;_xlfn.TEXTJOIN(", ",TRUE,IF(($B$2:$B$501=B254)*(ROW($B$2:$B$501)&lt;&gt;ROW(B254)),""&amp;$A$2:$A$501,"")),""))</f>
        <v/>
      </c>
      <c r="I254" s="10"/>
    </row>
    <row r="255" spans="1:9" x14ac:dyDescent="0.4">
      <c r="A255" s="3">
        <v>254</v>
      </c>
      <c r="B255" s="3" t="s">
        <v>706</v>
      </c>
      <c r="C255" s="3" t="s">
        <v>707</v>
      </c>
      <c r="D255" s="4" t="s">
        <v>804</v>
      </c>
      <c r="E255" s="3"/>
      <c r="F255" s="8">
        <v>45735</v>
      </c>
      <c r="G255" s="19" t="str">
        <f>IF('단어 시험장'!E255="❌","❌","")</f>
        <v/>
      </c>
      <c r="H255" s="23" t="str" cm="1">
        <f t="array" ref="H255">IF(B255="","",IF(COUNTIF($B$2:$B$501,B255)&gt;1,"No."&amp;_xlfn.TEXTJOIN(", ",TRUE,IF(($B$2:$B$501=B255)*(ROW($B$2:$B$501)&lt;&gt;ROW(B255)),""&amp;$A$2:$A$501,"")),""))</f>
        <v>No.356</v>
      </c>
      <c r="I255" s="10"/>
    </row>
    <row r="256" spans="1:9" x14ac:dyDescent="0.4">
      <c r="A256" s="3">
        <v>255</v>
      </c>
      <c r="B256" s="3" t="s">
        <v>713</v>
      </c>
      <c r="C256" s="3" t="s">
        <v>714</v>
      </c>
      <c r="D256" s="4" t="s">
        <v>805</v>
      </c>
      <c r="E256" s="3"/>
      <c r="F256" s="8">
        <v>45735</v>
      </c>
      <c r="G256" s="19" t="str">
        <f>IF('단어 시험장'!E256="❌","❌","")</f>
        <v/>
      </c>
      <c r="H256" s="23" t="str" cm="1">
        <f t="array" ref="H256">IF(B256="","",IF(COUNTIF($B$2:$B$501,B256)&gt;1,"No."&amp;_xlfn.TEXTJOIN(", ",TRUE,IF(($B$2:$B$501=B256)*(ROW($B$2:$B$501)&lt;&gt;ROW(B256)),""&amp;$A$2:$A$501,"")),""))</f>
        <v/>
      </c>
      <c r="I256" s="10"/>
    </row>
    <row r="257" spans="1:9" x14ac:dyDescent="0.4">
      <c r="A257" s="3">
        <v>256</v>
      </c>
      <c r="B257" s="3" t="s">
        <v>717</v>
      </c>
      <c r="C257" s="3" t="s">
        <v>718</v>
      </c>
      <c r="D257" s="4" t="s">
        <v>808</v>
      </c>
      <c r="E257" s="3"/>
      <c r="F257" s="8">
        <v>45735</v>
      </c>
      <c r="G257" s="19" t="str">
        <f>IF('단어 시험장'!E257="❌","❌","")</f>
        <v/>
      </c>
      <c r="H257" s="23" t="str" cm="1">
        <f t="array" ref="H257">IF(B257="","",IF(COUNTIF($B$2:$B$501,B257)&gt;1,"No."&amp;_xlfn.TEXTJOIN(", ",TRUE,IF(($B$2:$B$501=B257)*(ROW($B$2:$B$501)&lt;&gt;ROW(B257)),""&amp;$A$2:$A$501,"")),""))</f>
        <v/>
      </c>
      <c r="I257" s="10"/>
    </row>
    <row r="258" spans="1:9" x14ac:dyDescent="0.4">
      <c r="A258" s="3">
        <v>257</v>
      </c>
      <c r="B258" s="20" t="s">
        <v>722</v>
      </c>
      <c r="C258" s="3" t="s">
        <v>723</v>
      </c>
      <c r="D258" s="4" t="s">
        <v>809</v>
      </c>
      <c r="E258" s="3"/>
      <c r="F258" s="8">
        <v>45735</v>
      </c>
      <c r="G258" s="19" t="str">
        <f>IF('단어 시험장'!E258="❌","❌","")</f>
        <v/>
      </c>
      <c r="H258" s="23" t="str" cm="1">
        <f t="array" ref="H258">IF(B258="","",IF(COUNTIF($B$2:$B$501,B258)&gt;1,"No."&amp;_xlfn.TEXTJOIN(", ",TRUE,IF(($B$2:$B$501=B258)*(ROW($B$2:$B$501)&lt;&gt;ROW(B258)),""&amp;$A$2:$A$501,"")),""))</f>
        <v/>
      </c>
      <c r="I258" s="10"/>
    </row>
    <row r="259" spans="1:9" x14ac:dyDescent="0.4">
      <c r="A259" s="3">
        <v>258</v>
      </c>
      <c r="B259" s="20" t="s">
        <v>724</v>
      </c>
      <c r="C259" s="3" t="s">
        <v>725</v>
      </c>
      <c r="D259" s="4" t="s">
        <v>810</v>
      </c>
      <c r="E259" s="3"/>
      <c r="F259" s="8">
        <v>45735</v>
      </c>
      <c r="G259" s="19" t="str">
        <f>IF('단어 시험장'!E259="❌","❌","")</f>
        <v/>
      </c>
      <c r="H259" s="23" t="str" cm="1">
        <f t="array" ref="H259">IF(B259="","",IF(COUNTIF($B$2:$B$501,B259)&gt;1,"No."&amp;_xlfn.TEXTJOIN(", ",TRUE,IF(($B$2:$B$501=B259)*(ROW($B$2:$B$501)&lt;&gt;ROW(B259)),""&amp;$A$2:$A$501,"")),""))</f>
        <v/>
      </c>
      <c r="I259" s="10"/>
    </row>
    <row r="260" spans="1:9" x14ac:dyDescent="0.4">
      <c r="A260" s="3">
        <v>259</v>
      </c>
      <c r="B260" s="20" t="s">
        <v>726</v>
      </c>
      <c r="C260" s="3" t="s">
        <v>728</v>
      </c>
      <c r="D260" s="4" t="s">
        <v>816</v>
      </c>
      <c r="E260" s="3"/>
      <c r="F260" s="8">
        <v>45735</v>
      </c>
      <c r="G260" s="19" t="str">
        <f>IF('단어 시험장'!E260="❌","❌","")</f>
        <v/>
      </c>
      <c r="H260" s="23" t="str" cm="1">
        <f t="array" ref="H260">IF(B260="","",IF(COUNTIF($B$2:$B$501,B260)&gt;1,"No."&amp;_xlfn.TEXTJOIN(", ",TRUE,IF(($B$2:$B$501=B260)*(ROW($B$2:$B$501)&lt;&gt;ROW(B260)),""&amp;$A$2:$A$501,"")),""))</f>
        <v/>
      </c>
      <c r="I260" s="10"/>
    </row>
    <row r="261" spans="1:9" x14ac:dyDescent="0.4">
      <c r="A261" s="3">
        <v>260</v>
      </c>
      <c r="B261" s="20" t="s">
        <v>727</v>
      </c>
      <c r="C261" s="3" t="s">
        <v>729</v>
      </c>
      <c r="D261" s="4" t="s">
        <v>817</v>
      </c>
      <c r="E261" s="3"/>
      <c r="F261" s="8">
        <v>45735</v>
      </c>
      <c r="G261" s="19" t="str">
        <f>IF('단어 시험장'!E261="❌","❌","")</f>
        <v/>
      </c>
      <c r="H261" s="23" t="str" cm="1">
        <f t="array" ref="H261">IF(B261="","",IF(COUNTIF($B$2:$B$501,B261)&gt;1,"No."&amp;_xlfn.TEXTJOIN(", ",TRUE,IF(($B$2:$B$501=B261)*(ROW($B$2:$B$501)&lt;&gt;ROW(B261)),""&amp;$A$2:$A$501,"")),""))</f>
        <v/>
      </c>
      <c r="I261" s="10"/>
    </row>
    <row r="262" spans="1:9" x14ac:dyDescent="0.4">
      <c r="A262" s="3">
        <v>261</v>
      </c>
      <c r="B262" s="20" t="s">
        <v>730</v>
      </c>
      <c r="C262" s="3" t="s">
        <v>732</v>
      </c>
      <c r="D262" s="4" t="s">
        <v>818</v>
      </c>
      <c r="E262" s="3"/>
      <c r="F262" s="8">
        <v>45735</v>
      </c>
      <c r="G262" s="19" t="str">
        <f>IF('단어 시험장'!E262="❌","❌","")</f>
        <v/>
      </c>
      <c r="H262" s="23" t="str" cm="1">
        <f t="array" ref="H262">IF(B262="","",IF(COUNTIF($B$2:$B$501,B262)&gt;1,"No."&amp;_xlfn.TEXTJOIN(", ",TRUE,IF(($B$2:$B$501=B262)*(ROW($B$2:$B$501)&lt;&gt;ROW(B262)),""&amp;$A$2:$A$501,"")),""))</f>
        <v/>
      </c>
      <c r="I262" s="10"/>
    </row>
    <row r="263" spans="1:9" x14ac:dyDescent="0.4">
      <c r="A263" s="3">
        <v>262</v>
      </c>
      <c r="B263" s="20" t="s">
        <v>731</v>
      </c>
      <c r="C263" s="3" t="s">
        <v>733</v>
      </c>
      <c r="D263" s="4" t="s">
        <v>821</v>
      </c>
      <c r="E263" s="3"/>
      <c r="F263" s="8">
        <v>45735</v>
      </c>
      <c r="G263" s="19" t="str">
        <f>IF('단어 시험장'!E263="❌","❌","")</f>
        <v/>
      </c>
      <c r="H263" s="23" t="str" cm="1">
        <f t="array" ref="H263">IF(B263="","",IF(COUNTIF($B$2:$B$501,B263)&gt;1,"No."&amp;_xlfn.TEXTJOIN(", ",TRUE,IF(($B$2:$B$501=B263)*(ROW($B$2:$B$501)&lt;&gt;ROW(B263)),""&amp;$A$2:$A$501,"")),""))</f>
        <v/>
      </c>
      <c r="I263" s="10"/>
    </row>
    <row r="264" spans="1:9" x14ac:dyDescent="0.4">
      <c r="A264" s="3">
        <v>263</v>
      </c>
      <c r="B264" s="20" t="s">
        <v>734</v>
      </c>
      <c r="C264" s="3" t="s">
        <v>735</v>
      </c>
      <c r="D264" s="4" t="s">
        <v>822</v>
      </c>
      <c r="E264" s="3"/>
      <c r="F264" s="8">
        <v>45735</v>
      </c>
      <c r="G264" s="19" t="str">
        <f>IF('단어 시험장'!E264="❌","❌","")</f>
        <v/>
      </c>
      <c r="H264" s="23" t="str" cm="1">
        <f t="array" ref="H264">IF(B264="","",IF(COUNTIF($B$2:$B$501,B264)&gt;1,"No."&amp;_xlfn.TEXTJOIN(", ",TRUE,IF(($B$2:$B$501=B264)*(ROW($B$2:$B$501)&lt;&gt;ROW(B264)),""&amp;$A$2:$A$501,"")),""))</f>
        <v/>
      </c>
      <c r="I264" s="10"/>
    </row>
    <row r="265" spans="1:9" x14ac:dyDescent="0.4">
      <c r="A265" s="3">
        <v>264</v>
      </c>
      <c r="B265" s="20" t="s">
        <v>736</v>
      </c>
      <c r="C265" s="3" t="s">
        <v>737</v>
      </c>
      <c r="D265" s="4" t="s">
        <v>823</v>
      </c>
      <c r="E265" s="3"/>
      <c r="F265" s="8">
        <v>45735</v>
      </c>
      <c r="G265" s="19" t="str">
        <f>IF('단어 시험장'!E265="❌","❌","")</f>
        <v/>
      </c>
      <c r="H265" s="23" t="str" cm="1">
        <f t="array" ref="H265">IF(B265="","",IF(COUNTIF($B$2:$B$501,B265)&gt;1,"No."&amp;_xlfn.TEXTJOIN(", ",TRUE,IF(($B$2:$B$501=B265)*(ROW($B$2:$B$501)&lt;&gt;ROW(B265)),""&amp;$A$2:$A$501,"")),""))</f>
        <v/>
      </c>
      <c r="I265" s="10"/>
    </row>
    <row r="266" spans="1:9" x14ac:dyDescent="0.4">
      <c r="A266" s="3">
        <v>265</v>
      </c>
      <c r="B266" s="3" t="s">
        <v>739</v>
      </c>
      <c r="C266" s="3" t="s">
        <v>740</v>
      </c>
      <c r="D266" s="4" t="s">
        <v>1315</v>
      </c>
      <c r="E266" s="3"/>
      <c r="F266" s="8">
        <v>45736</v>
      </c>
      <c r="G266" s="19" t="str">
        <f>IF('단어 시험장'!E266="❌","❌","")</f>
        <v/>
      </c>
      <c r="H266" s="23" t="str" cm="1">
        <f t="array" ref="H266">IF(B266="","",IF(COUNTIF($B$2:$B$501,B266)&gt;1,"No."&amp;_xlfn.TEXTJOIN(", ",TRUE,IF(($B$2:$B$501=B266)*(ROW($B$2:$B$501)&lt;&gt;ROW(B266)),""&amp;$A$2:$A$501,"")),""))</f>
        <v/>
      </c>
      <c r="I266" s="10"/>
    </row>
    <row r="267" spans="1:9" x14ac:dyDescent="0.4">
      <c r="A267" s="3">
        <v>266</v>
      </c>
      <c r="B267" s="3" t="s">
        <v>742</v>
      </c>
      <c r="C267" s="3" t="s">
        <v>743</v>
      </c>
      <c r="D267" s="4" t="s">
        <v>1317</v>
      </c>
      <c r="E267" s="3"/>
      <c r="F267" s="8">
        <v>45736</v>
      </c>
      <c r="G267" s="19" t="str">
        <f>IF('단어 시험장'!E267="❌","❌","")</f>
        <v/>
      </c>
      <c r="H267" s="23" t="str" cm="1">
        <f t="array" ref="H267">IF(B267="","",IF(COUNTIF($B$2:$B$501,B267)&gt;1,"No."&amp;_xlfn.TEXTJOIN(", ",TRUE,IF(($B$2:$B$501=B267)*(ROW($B$2:$B$501)&lt;&gt;ROW(B267)),""&amp;$A$2:$A$501,"")),""))</f>
        <v/>
      </c>
      <c r="I267" s="10"/>
    </row>
    <row r="268" spans="1:9" x14ac:dyDescent="0.4">
      <c r="A268" s="3">
        <v>267</v>
      </c>
      <c r="B268" s="3" t="s">
        <v>745</v>
      </c>
      <c r="C268" s="3" t="s">
        <v>746</v>
      </c>
      <c r="D268" s="4" t="s">
        <v>1318</v>
      </c>
      <c r="E268" s="3"/>
      <c r="F268" s="8">
        <v>45736</v>
      </c>
      <c r="G268" s="19" t="str">
        <f>IF('단어 시험장'!E268="❌","❌","")</f>
        <v/>
      </c>
      <c r="H268" s="23" t="str" cm="1">
        <f t="array" ref="H268">IF(B268="","",IF(COUNTIF($B$2:$B$501,B268)&gt;1,"No."&amp;_xlfn.TEXTJOIN(", ",TRUE,IF(($B$2:$B$501=B268)*(ROW($B$2:$B$501)&lt;&gt;ROW(B268)),""&amp;$A$2:$A$501,"")),""))</f>
        <v/>
      </c>
      <c r="I268" s="10"/>
    </row>
    <row r="269" spans="1:9" x14ac:dyDescent="0.4">
      <c r="A269" s="3">
        <v>268</v>
      </c>
      <c r="B269" s="3" t="s">
        <v>763</v>
      </c>
      <c r="C269" s="3" t="s">
        <v>764</v>
      </c>
      <c r="D269" s="4" t="s">
        <v>1319</v>
      </c>
      <c r="E269" s="3"/>
      <c r="F269" s="8">
        <v>45736</v>
      </c>
      <c r="G269" s="19" t="str">
        <f>IF('단어 시험장'!E269="❌","❌","")</f>
        <v/>
      </c>
      <c r="H269" s="23" t="str" cm="1">
        <f t="array" ref="H269">IF(B269="","",IF(COUNTIF($B$2:$B$501,B269)&gt;1,"No."&amp;_xlfn.TEXTJOIN(", ",TRUE,IF(($B$2:$B$501=B269)*(ROW($B$2:$B$501)&lt;&gt;ROW(B269)),""&amp;$A$2:$A$501,"")),""))</f>
        <v/>
      </c>
      <c r="I269" s="10"/>
    </row>
    <row r="270" spans="1:9" x14ac:dyDescent="0.4">
      <c r="A270" s="3">
        <v>269</v>
      </c>
      <c r="B270" s="3" t="s">
        <v>767</v>
      </c>
      <c r="C270" s="3" t="s">
        <v>569</v>
      </c>
      <c r="D270" s="4" t="s">
        <v>1322</v>
      </c>
      <c r="E270" s="3"/>
      <c r="F270" s="8">
        <v>45736</v>
      </c>
      <c r="G270" s="19" t="str">
        <f>IF('단어 시험장'!E270="❌","❌","")</f>
        <v/>
      </c>
      <c r="H270" s="23" t="str" cm="1">
        <f t="array" ref="H270">IF(B270="","",IF(COUNTIF($B$2:$B$501,B270)&gt;1,"No."&amp;_xlfn.TEXTJOIN(", ",TRUE,IF(($B$2:$B$501=B270)*(ROW($B$2:$B$501)&lt;&gt;ROW(B270)),""&amp;$A$2:$A$501,"")),""))</f>
        <v/>
      </c>
      <c r="I270" s="10"/>
    </row>
    <row r="271" spans="1:9" x14ac:dyDescent="0.4">
      <c r="A271" s="3">
        <v>270</v>
      </c>
      <c r="B271" s="3" t="s">
        <v>773</v>
      </c>
      <c r="C271" s="3" t="s">
        <v>774</v>
      </c>
      <c r="D271" s="4" t="s">
        <v>1325</v>
      </c>
      <c r="E271" s="3"/>
      <c r="F271" s="8">
        <v>45736</v>
      </c>
      <c r="G271" s="19" t="str">
        <f>IF('단어 시험장'!E271="❌","❌","")</f>
        <v/>
      </c>
      <c r="H271" s="23" t="str" cm="1">
        <f t="array" ref="H271">IF(B271="","",IF(COUNTIF($B$2:$B$501,B271)&gt;1,"No."&amp;_xlfn.TEXTJOIN(", ",TRUE,IF(($B$2:$B$501=B271)*(ROW($B$2:$B$501)&lt;&gt;ROW(B271)),""&amp;$A$2:$A$501,"")),""))</f>
        <v/>
      </c>
      <c r="I271" s="10"/>
    </row>
    <row r="272" spans="1:9" x14ac:dyDescent="0.4">
      <c r="A272" s="3">
        <v>271</v>
      </c>
      <c r="B272" s="3" t="s">
        <v>780</v>
      </c>
      <c r="C272" s="3" t="s">
        <v>781</v>
      </c>
      <c r="D272" s="4" t="s">
        <v>1326</v>
      </c>
      <c r="E272" s="3"/>
      <c r="F272" s="8">
        <v>45736</v>
      </c>
      <c r="G272" s="19" t="str">
        <f>IF('단어 시험장'!E272="❌","❌","")</f>
        <v/>
      </c>
      <c r="H272" s="23" t="str" cm="1">
        <f t="array" ref="H272">IF(B272="","",IF(COUNTIF($B$2:$B$501,B272)&gt;1,"No."&amp;_xlfn.TEXTJOIN(", ",TRUE,IF(($B$2:$B$501=B272)*(ROW($B$2:$B$501)&lt;&gt;ROW(B272)),""&amp;$A$2:$A$501,"")),""))</f>
        <v/>
      </c>
      <c r="I272" s="10"/>
    </row>
    <row r="273" spans="1:9" x14ac:dyDescent="0.4">
      <c r="A273" s="3">
        <v>272</v>
      </c>
      <c r="B273" s="3" t="s">
        <v>786</v>
      </c>
      <c r="C273" s="3" t="s">
        <v>787</v>
      </c>
      <c r="D273" s="4" t="s">
        <v>1327</v>
      </c>
      <c r="E273" s="3"/>
      <c r="F273" s="8">
        <v>45736</v>
      </c>
      <c r="G273" s="19" t="str">
        <f>IF('단어 시험장'!E273="❌","❌","")</f>
        <v/>
      </c>
      <c r="H273" s="23" t="str" cm="1">
        <f t="array" ref="H273">IF(B273="","",IF(COUNTIF($B$2:$B$501,B273)&gt;1,"No."&amp;_xlfn.TEXTJOIN(", ",TRUE,IF(($B$2:$B$501=B273)*(ROW($B$2:$B$501)&lt;&gt;ROW(B273)),""&amp;$A$2:$A$501,"")),""))</f>
        <v/>
      </c>
      <c r="I273" s="10"/>
    </row>
    <row r="274" spans="1:9" x14ac:dyDescent="0.4">
      <c r="A274" s="3">
        <v>273</v>
      </c>
      <c r="B274" s="3" t="s">
        <v>796</v>
      </c>
      <c r="C274" s="3" t="s">
        <v>797</v>
      </c>
      <c r="D274" s="4" t="s">
        <v>1328</v>
      </c>
      <c r="E274" s="3"/>
      <c r="F274" s="8">
        <v>45736</v>
      </c>
      <c r="G274" s="19" t="str">
        <f>IF('단어 시험장'!E274="❌","❌","")</f>
        <v/>
      </c>
      <c r="H274" s="23" t="str" cm="1">
        <f t="array" ref="H274">IF(B274="","",IF(COUNTIF($B$2:$B$501,B274)&gt;1,"No."&amp;_xlfn.TEXTJOIN(", ",TRUE,IF(($B$2:$B$501=B274)*(ROW($B$2:$B$501)&lt;&gt;ROW(B274)),""&amp;$A$2:$A$501,"")),""))</f>
        <v/>
      </c>
      <c r="I274" s="10"/>
    </row>
    <row r="275" spans="1:9" x14ac:dyDescent="0.4">
      <c r="A275" s="3">
        <v>274</v>
      </c>
      <c r="B275" s="3" t="s">
        <v>800</v>
      </c>
      <c r="C275" s="3" t="s">
        <v>801</v>
      </c>
      <c r="D275" s="4" t="s">
        <v>1329</v>
      </c>
      <c r="E275" s="3"/>
      <c r="F275" s="8">
        <v>45736</v>
      </c>
      <c r="G275" s="19" t="str">
        <f>IF('단어 시험장'!E275="❌","❌","")</f>
        <v/>
      </c>
      <c r="H275" s="23" t="str" cm="1">
        <f t="array" ref="H275">IF(B275="","",IF(COUNTIF($B$2:$B$501,B275)&gt;1,"No."&amp;_xlfn.TEXTJOIN(", ",TRUE,IF(($B$2:$B$501=B275)*(ROW($B$2:$B$501)&lt;&gt;ROW(B275)),""&amp;$A$2:$A$501,"")),""))</f>
        <v/>
      </c>
      <c r="I275" s="10"/>
    </row>
    <row r="276" spans="1:9" x14ac:dyDescent="0.4">
      <c r="A276" s="3">
        <v>275</v>
      </c>
      <c r="B276" s="3" t="s">
        <v>806</v>
      </c>
      <c r="C276" s="3" t="s">
        <v>807</v>
      </c>
      <c r="D276" s="4" t="s">
        <v>1330</v>
      </c>
      <c r="E276" s="3"/>
      <c r="F276" s="8">
        <v>45736</v>
      </c>
      <c r="G276" s="19" t="str">
        <f>IF('단어 시험장'!E276="❌","❌","")</f>
        <v/>
      </c>
      <c r="H276" s="23" t="str" cm="1">
        <f t="array" ref="H276">IF(B276="","",IF(COUNTIF($B$2:$B$501,B276)&gt;1,"No."&amp;_xlfn.TEXTJOIN(", ",TRUE,IF(($B$2:$B$501=B276)*(ROW($B$2:$B$501)&lt;&gt;ROW(B276)),""&amp;$A$2:$A$501,"")),""))</f>
        <v/>
      </c>
      <c r="I276" s="10"/>
    </row>
    <row r="277" spans="1:9" x14ac:dyDescent="0.4">
      <c r="A277" s="3">
        <v>276</v>
      </c>
      <c r="B277" s="3" t="s">
        <v>811</v>
      </c>
      <c r="C277" s="3" t="s">
        <v>812</v>
      </c>
      <c r="D277" s="4" t="s">
        <v>1331</v>
      </c>
      <c r="E277" s="3"/>
      <c r="F277" s="8">
        <v>45736</v>
      </c>
      <c r="G277" s="19" t="str">
        <f>IF('단어 시험장'!E277="❌","❌","")</f>
        <v/>
      </c>
      <c r="H277" s="23" t="str" cm="1">
        <f t="array" ref="H277">IF(B277="","",IF(COUNTIF($B$2:$B$501,B277)&gt;1,"No."&amp;_xlfn.TEXTJOIN(", ",TRUE,IF(($B$2:$B$501=B277)*(ROW($B$2:$B$501)&lt;&gt;ROW(B277)),""&amp;$A$2:$A$501,"")),""))</f>
        <v/>
      </c>
      <c r="I277" s="10"/>
    </row>
    <row r="278" spans="1:9" x14ac:dyDescent="0.4">
      <c r="A278" s="3">
        <v>277</v>
      </c>
      <c r="B278" s="3" t="s">
        <v>813</v>
      </c>
      <c r="C278" s="3" t="s">
        <v>814</v>
      </c>
      <c r="D278" s="4" t="s">
        <v>1332</v>
      </c>
      <c r="E278" s="3"/>
      <c r="F278" s="8">
        <v>45736</v>
      </c>
      <c r="G278" s="19" t="str">
        <f>IF('단어 시험장'!E278="❌","❌","")</f>
        <v/>
      </c>
      <c r="H278" s="23" t="str" cm="1">
        <f t="array" ref="H278">IF(B278="","",IF(COUNTIF($B$2:$B$501,B278)&gt;1,"No."&amp;_xlfn.TEXTJOIN(", ",TRUE,IF(($B$2:$B$501=B278)*(ROW($B$2:$B$501)&lt;&gt;ROW(B278)),""&amp;$A$2:$A$501,"")),""))</f>
        <v/>
      </c>
      <c r="I278" s="10"/>
    </row>
    <row r="279" spans="1:9" x14ac:dyDescent="0.4">
      <c r="A279" s="3">
        <v>278</v>
      </c>
      <c r="B279" s="3" t="s">
        <v>824</v>
      </c>
      <c r="C279" s="3" t="s">
        <v>825</v>
      </c>
      <c r="D279" s="4" t="s">
        <v>1333</v>
      </c>
      <c r="E279" s="3"/>
      <c r="F279" s="8">
        <v>45737</v>
      </c>
      <c r="G279" s="19" t="str">
        <f>IF('단어 시험장'!E279="❌","❌","")</f>
        <v/>
      </c>
      <c r="H279" s="23" t="str" cm="1">
        <f t="array" ref="H279">IF(B279="","",IF(COUNTIF($B$2:$B$501,B279)&gt;1,"No."&amp;_xlfn.TEXTJOIN(", ",TRUE,IF(($B$2:$B$501=B279)*(ROW($B$2:$B$501)&lt;&gt;ROW(B279)),""&amp;$A$2:$A$501,"")),""))</f>
        <v/>
      </c>
      <c r="I279" s="10"/>
    </row>
    <row r="280" spans="1:9" x14ac:dyDescent="0.4">
      <c r="A280" s="3">
        <v>279</v>
      </c>
      <c r="B280" s="3" t="s">
        <v>826</v>
      </c>
      <c r="C280" s="3" t="s">
        <v>827</v>
      </c>
      <c r="D280" s="4" t="s">
        <v>1334</v>
      </c>
      <c r="E280" s="3"/>
      <c r="F280" s="8">
        <v>45737</v>
      </c>
      <c r="G280" s="19" t="str">
        <f>IF('단어 시험장'!E280="❌","❌","")</f>
        <v/>
      </c>
      <c r="H280" s="23" t="str" cm="1">
        <f t="array" ref="H280">IF(B280="","",IF(COUNTIF($B$2:$B$501,B280)&gt;1,"No."&amp;_xlfn.TEXTJOIN(", ",TRUE,IF(($B$2:$B$501=B280)*(ROW($B$2:$B$501)&lt;&gt;ROW(B280)),""&amp;$A$2:$A$501,"")),""))</f>
        <v/>
      </c>
      <c r="I280" s="10"/>
    </row>
    <row r="281" spans="1:9" x14ac:dyDescent="0.4">
      <c r="A281" s="3">
        <v>280</v>
      </c>
      <c r="B281" s="3" t="s">
        <v>828</v>
      </c>
      <c r="C281" s="3" t="s">
        <v>904</v>
      </c>
      <c r="D281" s="4" t="s">
        <v>1335</v>
      </c>
      <c r="E281" s="3"/>
      <c r="F281" s="8">
        <v>45737</v>
      </c>
      <c r="G281" s="19" t="str">
        <f>IF('단어 시험장'!E281="❌","❌","")</f>
        <v/>
      </c>
      <c r="H281" s="23" t="str" cm="1">
        <f t="array" ref="H281">IF(B281="","",IF(COUNTIF($B$2:$B$501,B281)&gt;1,"No."&amp;_xlfn.TEXTJOIN(", ",TRUE,IF(($B$2:$B$501=B281)*(ROW($B$2:$B$501)&lt;&gt;ROW(B281)),""&amp;$A$2:$A$501,"")),""))</f>
        <v/>
      </c>
      <c r="I281" s="10"/>
    </row>
    <row r="282" spans="1:9" x14ac:dyDescent="0.4">
      <c r="A282" s="3">
        <v>281</v>
      </c>
      <c r="B282" s="3" t="s">
        <v>829</v>
      </c>
      <c r="C282" s="3" t="s">
        <v>905</v>
      </c>
      <c r="D282" s="4" t="s">
        <v>1336</v>
      </c>
      <c r="E282" s="3"/>
      <c r="F282" s="8">
        <v>45737</v>
      </c>
      <c r="G282" s="19" t="str">
        <f>IF('단어 시험장'!E282="❌","❌","")</f>
        <v/>
      </c>
      <c r="H282" s="23" t="str" cm="1">
        <f t="array" ref="H282">IF(B282="","",IF(COUNTIF($B$2:$B$501,B282)&gt;1,"No."&amp;_xlfn.TEXTJOIN(", ",TRUE,IF(($B$2:$B$501=B282)*(ROW($B$2:$B$501)&lt;&gt;ROW(B282)),""&amp;$A$2:$A$501,"")),""))</f>
        <v/>
      </c>
      <c r="I282" s="10"/>
    </row>
    <row r="283" spans="1:9" x14ac:dyDescent="0.4">
      <c r="A283" s="3">
        <v>282</v>
      </c>
      <c r="B283" s="3" t="s">
        <v>830</v>
      </c>
      <c r="C283" s="3" t="s">
        <v>906</v>
      </c>
      <c r="D283" s="4" t="s">
        <v>1337</v>
      </c>
      <c r="E283" s="3"/>
      <c r="F283" s="8">
        <v>45737</v>
      </c>
      <c r="G283" s="19" t="str">
        <f>IF('단어 시험장'!E283="❌","❌","")</f>
        <v/>
      </c>
      <c r="H283" s="23" t="str" cm="1">
        <f t="array" ref="H283">IF(B283="","",IF(COUNTIF($B$2:$B$501,B283)&gt;1,"No."&amp;_xlfn.TEXTJOIN(", ",TRUE,IF(($B$2:$B$501=B283)*(ROW($B$2:$B$501)&lt;&gt;ROW(B283)),""&amp;$A$2:$A$501,"")),""))</f>
        <v/>
      </c>
      <c r="I283" s="10"/>
    </row>
    <row r="284" spans="1:9" x14ac:dyDescent="0.4">
      <c r="A284" s="3">
        <v>283</v>
      </c>
      <c r="B284" s="3" t="s">
        <v>831</v>
      </c>
      <c r="C284" s="3" t="s">
        <v>91</v>
      </c>
      <c r="D284" s="4" t="s">
        <v>1338</v>
      </c>
      <c r="E284" s="3"/>
      <c r="F284" s="8">
        <v>45737</v>
      </c>
      <c r="G284" s="19" t="str">
        <f>IF('단어 시험장'!E284="❌","❌","")</f>
        <v/>
      </c>
      <c r="H284" s="23" t="str" cm="1">
        <f t="array" ref="H284">IF(B284="","",IF(COUNTIF($B$2:$B$501,B284)&gt;1,"No."&amp;_xlfn.TEXTJOIN(", ",TRUE,IF(($B$2:$B$501=B284)*(ROW($B$2:$B$501)&lt;&gt;ROW(B284)),""&amp;$A$2:$A$501,"")),""))</f>
        <v/>
      </c>
      <c r="I284" s="10"/>
    </row>
    <row r="285" spans="1:9" x14ac:dyDescent="0.4">
      <c r="A285" s="3">
        <v>284</v>
      </c>
      <c r="B285" s="3" t="s">
        <v>832</v>
      </c>
      <c r="C285" s="3" t="s">
        <v>907</v>
      </c>
      <c r="D285" s="4" t="s">
        <v>1339</v>
      </c>
      <c r="E285" s="3"/>
      <c r="F285" s="8">
        <v>45737</v>
      </c>
      <c r="G285" s="19" t="str">
        <f>IF('단어 시험장'!E285="❌","❌","")</f>
        <v/>
      </c>
      <c r="H285" s="23" t="str" cm="1">
        <f t="array" ref="H285">IF(B285="","",IF(COUNTIF($B$2:$B$501,B285)&gt;1,"No."&amp;_xlfn.TEXTJOIN(", ",TRUE,IF(($B$2:$B$501=B285)*(ROW($B$2:$B$501)&lt;&gt;ROW(B285)),""&amp;$A$2:$A$501,"")),""))</f>
        <v/>
      </c>
      <c r="I285" s="10"/>
    </row>
    <row r="286" spans="1:9" x14ac:dyDescent="0.4">
      <c r="A286" s="3">
        <v>285</v>
      </c>
      <c r="B286" s="3" t="s">
        <v>833</v>
      </c>
      <c r="C286" s="3" t="s">
        <v>908</v>
      </c>
      <c r="D286" s="4" t="s">
        <v>1340</v>
      </c>
      <c r="E286" s="3"/>
      <c r="F286" s="8">
        <v>45737</v>
      </c>
      <c r="G286" s="19" t="str">
        <f>IF('단어 시험장'!E286="❌","❌","")</f>
        <v/>
      </c>
      <c r="H286" s="23" t="str" cm="1">
        <f t="array" ref="H286">IF(B286="","",IF(COUNTIF($B$2:$B$501,B286)&gt;1,"No."&amp;_xlfn.TEXTJOIN(", ",TRUE,IF(($B$2:$B$501=B286)*(ROW($B$2:$B$501)&lt;&gt;ROW(B286)),""&amp;$A$2:$A$501,"")),""))</f>
        <v/>
      </c>
      <c r="I286" s="10"/>
    </row>
    <row r="287" spans="1:9" x14ac:dyDescent="0.4">
      <c r="A287" s="3">
        <v>286</v>
      </c>
      <c r="B287" s="3" t="s">
        <v>834</v>
      </c>
      <c r="C287" s="3" t="s">
        <v>909</v>
      </c>
      <c r="D287" s="4" t="s">
        <v>1341</v>
      </c>
      <c r="E287" s="3"/>
      <c r="F287" s="8">
        <v>45737</v>
      </c>
      <c r="G287" s="19" t="str">
        <f>IF('단어 시험장'!E287="❌","❌","")</f>
        <v/>
      </c>
      <c r="H287" s="23" t="str" cm="1">
        <f t="array" ref="H287">IF(B287="","",IF(COUNTIF($B$2:$B$501,B287)&gt;1,"No."&amp;_xlfn.TEXTJOIN(", ",TRUE,IF(($B$2:$B$501=B287)*(ROW($B$2:$B$501)&lt;&gt;ROW(B287)),""&amp;$A$2:$A$501,"")),""))</f>
        <v/>
      </c>
      <c r="I287" s="10"/>
    </row>
    <row r="288" spans="1:9" x14ac:dyDescent="0.4">
      <c r="A288" s="3">
        <v>287</v>
      </c>
      <c r="B288" s="3" t="s">
        <v>835</v>
      </c>
      <c r="C288" s="3" t="s">
        <v>910</v>
      </c>
      <c r="D288" s="4" t="s">
        <v>1342</v>
      </c>
      <c r="E288" s="3"/>
      <c r="F288" s="8">
        <v>45737</v>
      </c>
      <c r="G288" s="19" t="str">
        <f>IF('단어 시험장'!E288="❌","❌","")</f>
        <v/>
      </c>
      <c r="H288" s="23" t="str" cm="1">
        <f t="array" ref="H288">IF(B288="","",IF(COUNTIF($B$2:$B$501,B288)&gt;1,"No."&amp;_xlfn.TEXTJOIN(", ",TRUE,IF(($B$2:$B$501=B288)*(ROW($B$2:$B$501)&lt;&gt;ROW(B288)),""&amp;$A$2:$A$501,"")),""))</f>
        <v/>
      </c>
      <c r="I288" s="10"/>
    </row>
    <row r="289" spans="1:9" x14ac:dyDescent="0.4">
      <c r="A289" s="3">
        <v>288</v>
      </c>
      <c r="B289" s="3" t="s">
        <v>836</v>
      </c>
      <c r="C289" s="3" t="s">
        <v>911</v>
      </c>
      <c r="D289" s="4" t="s">
        <v>1343</v>
      </c>
      <c r="E289" s="3"/>
      <c r="F289" s="8">
        <v>45737</v>
      </c>
      <c r="G289" s="19" t="str">
        <f>IF('단어 시험장'!E289="❌","❌","")</f>
        <v/>
      </c>
      <c r="H289" s="23" t="str" cm="1">
        <f t="array" ref="H289">IF(B289="","",IF(COUNTIF($B$2:$B$501,B289)&gt;1,"No."&amp;_xlfn.TEXTJOIN(", ",TRUE,IF(($B$2:$B$501=B289)*(ROW($B$2:$B$501)&lt;&gt;ROW(B289)),""&amp;$A$2:$A$501,"")),""))</f>
        <v/>
      </c>
      <c r="I289" s="10"/>
    </row>
    <row r="290" spans="1:9" x14ac:dyDescent="0.4">
      <c r="A290" s="3">
        <v>289</v>
      </c>
      <c r="B290" s="3" t="s">
        <v>188</v>
      </c>
      <c r="C290" s="3" t="s">
        <v>912</v>
      </c>
      <c r="D290" s="4" t="s">
        <v>1344</v>
      </c>
      <c r="E290" s="3"/>
      <c r="F290" s="8">
        <v>45737</v>
      </c>
      <c r="G290" s="19" t="str">
        <f>IF('단어 시험장'!E290="❌","❌","")</f>
        <v/>
      </c>
      <c r="H290" s="23" t="str" cm="1">
        <f t="array" ref="H290">IF(B290="","",IF(COUNTIF($B$2:$B$501,B290)&gt;1,"No."&amp;_xlfn.TEXTJOIN(", ",TRUE,IF(($B$2:$B$501=B290)*(ROW($B$2:$B$501)&lt;&gt;ROW(B290)),""&amp;$A$2:$A$501,"")),""))</f>
        <v>No.71</v>
      </c>
      <c r="I290" s="10"/>
    </row>
    <row r="291" spans="1:9" x14ac:dyDescent="0.4">
      <c r="A291" s="3">
        <v>290</v>
      </c>
      <c r="B291" s="3" t="s">
        <v>837</v>
      </c>
      <c r="C291" s="3" t="s">
        <v>913</v>
      </c>
      <c r="D291" s="4" t="s">
        <v>1345</v>
      </c>
      <c r="E291" s="3"/>
      <c r="F291" s="8">
        <v>45737</v>
      </c>
      <c r="G291" s="19" t="str">
        <f>IF('단어 시험장'!E291="❌","❌","")</f>
        <v/>
      </c>
      <c r="H291" s="23" t="str" cm="1">
        <f t="array" ref="H291">IF(B291="","",IF(COUNTIF($B$2:$B$501,B291)&gt;1,"No."&amp;_xlfn.TEXTJOIN(", ",TRUE,IF(($B$2:$B$501=B291)*(ROW($B$2:$B$501)&lt;&gt;ROW(B291)),""&amp;$A$2:$A$501,"")),""))</f>
        <v/>
      </c>
      <c r="I291" s="10"/>
    </row>
    <row r="292" spans="1:9" x14ac:dyDescent="0.4">
      <c r="A292" s="3">
        <v>291</v>
      </c>
      <c r="B292" s="3" t="s">
        <v>838</v>
      </c>
      <c r="C292" s="3" t="s">
        <v>914</v>
      </c>
      <c r="D292" s="4" t="s">
        <v>1346</v>
      </c>
      <c r="E292" s="3"/>
      <c r="F292" s="8">
        <v>45737</v>
      </c>
      <c r="G292" s="19" t="str">
        <f>IF('단어 시험장'!E292="❌","❌","")</f>
        <v/>
      </c>
      <c r="H292" s="23" t="str" cm="1">
        <f t="array" ref="H292">IF(B292="","",IF(COUNTIF($B$2:$B$501,B292)&gt;1,"No."&amp;_xlfn.TEXTJOIN(", ",TRUE,IF(($B$2:$B$501=B292)*(ROW($B$2:$B$501)&lt;&gt;ROW(B292)),""&amp;$A$2:$A$501,"")),""))</f>
        <v/>
      </c>
      <c r="I292" s="10"/>
    </row>
    <row r="293" spans="1:9" x14ac:dyDescent="0.4">
      <c r="A293" s="3">
        <v>292</v>
      </c>
      <c r="B293" s="3" t="s">
        <v>839</v>
      </c>
      <c r="C293" s="3" t="s">
        <v>915</v>
      </c>
      <c r="D293" s="4" t="s">
        <v>1347</v>
      </c>
      <c r="E293" s="3"/>
      <c r="F293" s="8">
        <v>45737</v>
      </c>
      <c r="G293" s="19" t="str">
        <f>IF('단어 시험장'!E293="❌","❌","")</f>
        <v/>
      </c>
      <c r="H293" s="23" t="str" cm="1">
        <f t="array" ref="H293">IF(B293="","",IF(COUNTIF($B$2:$B$501,B293)&gt;1,"No."&amp;_xlfn.TEXTJOIN(", ",TRUE,IF(($B$2:$B$501=B293)*(ROW($B$2:$B$501)&lt;&gt;ROW(B293)),""&amp;$A$2:$A$501,"")),""))</f>
        <v/>
      </c>
      <c r="I293" s="10"/>
    </row>
    <row r="294" spans="1:9" x14ac:dyDescent="0.4">
      <c r="A294" s="3">
        <v>293</v>
      </c>
      <c r="B294" s="3" t="s">
        <v>840</v>
      </c>
      <c r="C294" s="3" t="s">
        <v>916</v>
      </c>
      <c r="D294" s="4" t="s">
        <v>1348</v>
      </c>
      <c r="E294" s="3"/>
      <c r="F294" s="8">
        <v>45737</v>
      </c>
      <c r="G294" s="19" t="str">
        <f>IF('단어 시험장'!E294="❌","❌","")</f>
        <v/>
      </c>
      <c r="H294" s="23" t="str" cm="1">
        <f t="array" ref="H294">IF(B294="","",IF(COUNTIF($B$2:$B$501,B294)&gt;1,"No."&amp;_xlfn.TEXTJOIN(", ",TRUE,IF(($B$2:$B$501=B294)*(ROW($B$2:$B$501)&lt;&gt;ROW(B294)),""&amp;$A$2:$A$501,"")),""))</f>
        <v/>
      </c>
      <c r="I294" s="10"/>
    </row>
    <row r="295" spans="1:9" x14ac:dyDescent="0.4">
      <c r="A295" s="3">
        <v>294</v>
      </c>
      <c r="B295" s="3" t="s">
        <v>841</v>
      </c>
      <c r="C295" s="3" t="s">
        <v>917</v>
      </c>
      <c r="D295" s="4" t="s">
        <v>1349</v>
      </c>
      <c r="E295" s="3"/>
      <c r="F295" s="8">
        <v>45737</v>
      </c>
      <c r="G295" s="19" t="str">
        <f>IF('단어 시험장'!E295="❌","❌","")</f>
        <v/>
      </c>
      <c r="H295" s="23" t="str" cm="1">
        <f t="array" ref="H295">IF(B295="","",IF(COUNTIF($B$2:$B$501,B295)&gt;1,"No."&amp;_xlfn.TEXTJOIN(", ",TRUE,IF(($B$2:$B$501=B295)*(ROW($B$2:$B$501)&lt;&gt;ROW(B295)),""&amp;$A$2:$A$501,"")),""))</f>
        <v/>
      </c>
      <c r="I295" s="10"/>
    </row>
    <row r="296" spans="1:9" x14ac:dyDescent="0.4">
      <c r="A296" s="3">
        <v>295</v>
      </c>
      <c r="B296" s="3" t="s">
        <v>842</v>
      </c>
      <c r="C296" s="3" t="s">
        <v>918</v>
      </c>
      <c r="D296" s="4" t="s">
        <v>1350</v>
      </c>
      <c r="E296" s="3"/>
      <c r="F296" s="8">
        <v>45737</v>
      </c>
      <c r="G296" s="19" t="str">
        <f>IF('단어 시험장'!E296="❌","❌","")</f>
        <v/>
      </c>
      <c r="H296" s="23" t="str" cm="1">
        <f t="array" ref="H296">IF(B296="","",IF(COUNTIF($B$2:$B$501,B296)&gt;1,"No."&amp;_xlfn.TEXTJOIN(", ",TRUE,IF(($B$2:$B$501=B296)*(ROW($B$2:$B$501)&lt;&gt;ROW(B296)),""&amp;$A$2:$A$501,"")),""))</f>
        <v/>
      </c>
      <c r="I296" s="10"/>
    </row>
    <row r="297" spans="1:9" x14ac:dyDescent="0.4">
      <c r="A297" s="3">
        <v>296</v>
      </c>
      <c r="B297" s="3" t="s">
        <v>843</v>
      </c>
      <c r="C297" s="3" t="s">
        <v>919</v>
      </c>
      <c r="D297" s="4" t="s">
        <v>1353</v>
      </c>
      <c r="E297" s="3"/>
      <c r="F297" s="8">
        <v>45737</v>
      </c>
      <c r="G297" s="19" t="str">
        <f>IF('단어 시험장'!E297="❌","❌","")</f>
        <v/>
      </c>
      <c r="H297" s="23" t="str" cm="1">
        <f t="array" ref="H297">IF(B297="","",IF(COUNTIF($B$2:$B$501,B297)&gt;1,"No."&amp;_xlfn.TEXTJOIN(", ",TRUE,IF(($B$2:$B$501=B297)*(ROW($B$2:$B$501)&lt;&gt;ROW(B297)),""&amp;$A$2:$A$501,"")),""))</f>
        <v/>
      </c>
      <c r="I297" s="10"/>
    </row>
    <row r="298" spans="1:9" x14ac:dyDescent="0.4">
      <c r="A298" s="3">
        <v>297</v>
      </c>
      <c r="B298" s="3" t="s">
        <v>844</v>
      </c>
      <c r="C298" s="3" t="s">
        <v>920</v>
      </c>
      <c r="D298" s="4" t="s">
        <v>1354</v>
      </c>
      <c r="E298" s="3"/>
      <c r="F298" s="8">
        <v>45737</v>
      </c>
      <c r="G298" s="19" t="str">
        <f>IF('단어 시험장'!E298="❌","❌","")</f>
        <v/>
      </c>
      <c r="H298" s="23" t="str" cm="1">
        <f t="array" ref="H298">IF(B298="","",IF(COUNTIF($B$2:$B$501,B298)&gt;1,"No."&amp;_xlfn.TEXTJOIN(", ",TRUE,IF(($B$2:$B$501=B298)*(ROW($B$2:$B$501)&lt;&gt;ROW(B298)),""&amp;$A$2:$A$501,"")),""))</f>
        <v/>
      </c>
      <c r="I298" s="10"/>
    </row>
    <row r="299" spans="1:9" x14ac:dyDescent="0.4">
      <c r="A299" s="3">
        <v>298</v>
      </c>
      <c r="B299" s="3" t="s">
        <v>309</v>
      </c>
      <c r="C299" s="3" t="s">
        <v>921</v>
      </c>
      <c r="D299" s="4" t="s">
        <v>1355</v>
      </c>
      <c r="E299" s="3"/>
      <c r="F299" s="8">
        <v>45737</v>
      </c>
      <c r="G299" s="19" t="str">
        <f>IF('단어 시험장'!E299="❌","❌","")</f>
        <v/>
      </c>
      <c r="H299" s="23" t="str" cm="1">
        <f t="array" ref="H299">IF(B299="","",IF(COUNTIF($B$2:$B$501,B299)&gt;1,"No."&amp;_xlfn.TEXTJOIN(", ",TRUE,IF(($B$2:$B$501=B299)*(ROW($B$2:$B$501)&lt;&gt;ROW(B299)),""&amp;$A$2:$A$501,"")),""))</f>
        <v>No.140</v>
      </c>
      <c r="I299" s="10"/>
    </row>
    <row r="300" spans="1:9" x14ac:dyDescent="0.4">
      <c r="A300" s="3">
        <v>299</v>
      </c>
      <c r="B300" s="3" t="s">
        <v>845</v>
      </c>
      <c r="C300" s="3" t="s">
        <v>922</v>
      </c>
      <c r="D300" s="4" t="s">
        <v>1356</v>
      </c>
      <c r="E300" s="3"/>
      <c r="F300" s="8">
        <v>45737</v>
      </c>
      <c r="G300" s="19" t="str">
        <f>IF('단어 시험장'!E300="❌","❌","")</f>
        <v/>
      </c>
      <c r="H300" s="23" t="str" cm="1">
        <f t="array" ref="H300">IF(B300="","",IF(COUNTIF($B$2:$B$501,B300)&gt;1,"No."&amp;_xlfn.TEXTJOIN(", ",TRUE,IF(($B$2:$B$501=B300)*(ROW($B$2:$B$501)&lt;&gt;ROW(B300)),""&amp;$A$2:$A$501,"")),""))</f>
        <v/>
      </c>
      <c r="I300" s="10"/>
    </row>
    <row r="301" spans="1:9" x14ac:dyDescent="0.4">
      <c r="A301" s="3">
        <v>300</v>
      </c>
      <c r="B301" s="3" t="s">
        <v>846</v>
      </c>
      <c r="C301" s="3" t="s">
        <v>923</v>
      </c>
      <c r="D301" s="4" t="s">
        <v>1357</v>
      </c>
      <c r="E301" s="3"/>
      <c r="F301" s="8">
        <v>45737</v>
      </c>
      <c r="G301" s="19" t="str">
        <f>IF('단어 시험장'!E301="❌","❌","")</f>
        <v/>
      </c>
      <c r="H301" s="23" t="str" cm="1">
        <f t="array" ref="H301">IF(B301="","",IF(COUNTIF($B$2:$B$501,B301)&gt;1,"No."&amp;_xlfn.TEXTJOIN(", ",TRUE,IF(($B$2:$B$501=B301)*(ROW($B$2:$B$501)&lt;&gt;ROW(B301)),""&amp;$A$2:$A$501,"")),""))</f>
        <v/>
      </c>
      <c r="I301" s="10"/>
    </row>
    <row r="302" spans="1:9" x14ac:dyDescent="0.4">
      <c r="A302" s="3">
        <v>301</v>
      </c>
      <c r="B302" s="3" t="s">
        <v>847</v>
      </c>
      <c r="C302" s="3" t="s">
        <v>255</v>
      </c>
      <c r="D302" s="4" t="s">
        <v>1360</v>
      </c>
      <c r="E302" s="3"/>
      <c r="F302" s="8">
        <v>45737</v>
      </c>
      <c r="G302" s="19" t="str">
        <f>IF('단어 시험장'!E302="❌","❌","")</f>
        <v/>
      </c>
      <c r="H302" s="23" t="str" cm="1">
        <f t="array" ref="H302">IF(B302="","",IF(COUNTIF($B$2:$B$501,B302)&gt;1,"No."&amp;_xlfn.TEXTJOIN(", ",TRUE,IF(($B$2:$B$501=B302)*(ROW($B$2:$B$501)&lt;&gt;ROW(B302)),""&amp;$A$2:$A$501,"")),""))</f>
        <v/>
      </c>
      <c r="I302" s="10"/>
    </row>
    <row r="303" spans="1:9" x14ac:dyDescent="0.4">
      <c r="A303" s="3">
        <v>302</v>
      </c>
      <c r="B303" s="3" t="s">
        <v>848</v>
      </c>
      <c r="C303" s="3" t="s">
        <v>924</v>
      </c>
      <c r="D303" s="4" t="s">
        <v>1361</v>
      </c>
      <c r="E303" s="3"/>
      <c r="F303" s="8">
        <v>45737</v>
      </c>
      <c r="G303" s="19" t="str">
        <f>IF('단어 시험장'!E303="❌","❌","")</f>
        <v/>
      </c>
      <c r="H303" s="23" t="str" cm="1">
        <f t="array" ref="H303">IF(B303="","",IF(COUNTIF($B$2:$B$501,B303)&gt;1,"No."&amp;_xlfn.TEXTJOIN(", ",TRUE,IF(($B$2:$B$501=B303)*(ROW($B$2:$B$501)&lt;&gt;ROW(B303)),""&amp;$A$2:$A$501,"")),""))</f>
        <v/>
      </c>
      <c r="I303" s="10"/>
    </row>
    <row r="304" spans="1:9" x14ac:dyDescent="0.4">
      <c r="A304" s="3">
        <v>303</v>
      </c>
      <c r="B304" s="3" t="s">
        <v>849</v>
      </c>
      <c r="C304" s="3" t="s">
        <v>925</v>
      </c>
      <c r="D304" s="4" t="s">
        <v>1362</v>
      </c>
      <c r="E304" s="3"/>
      <c r="F304" s="8">
        <v>45737</v>
      </c>
      <c r="G304" s="19" t="str">
        <f>IF('단어 시험장'!E304="❌","❌","")</f>
        <v/>
      </c>
      <c r="H304" s="23" t="str" cm="1">
        <f t="array" ref="H304">IF(B304="","",IF(COUNTIF($B$2:$B$501,B304)&gt;1,"No."&amp;_xlfn.TEXTJOIN(", ",TRUE,IF(($B$2:$B$501=B304)*(ROW($B$2:$B$501)&lt;&gt;ROW(B304)),""&amp;$A$2:$A$501,"")),""))</f>
        <v/>
      </c>
      <c r="I304" s="10"/>
    </row>
    <row r="305" spans="1:9" x14ac:dyDescent="0.4">
      <c r="A305" s="3">
        <v>304</v>
      </c>
      <c r="B305" s="3" t="s">
        <v>850</v>
      </c>
      <c r="C305" s="3" t="s">
        <v>926</v>
      </c>
      <c r="D305" s="4" t="s">
        <v>1363</v>
      </c>
      <c r="E305" s="3"/>
      <c r="F305" s="8">
        <v>45737</v>
      </c>
      <c r="G305" s="19" t="str">
        <f>IF('단어 시험장'!E305="❌","❌","")</f>
        <v/>
      </c>
      <c r="H305" s="23" t="str" cm="1">
        <f t="array" ref="H305">IF(B305="","",IF(COUNTIF($B$2:$B$501,B305)&gt;1,"No."&amp;_xlfn.TEXTJOIN(", ",TRUE,IF(($B$2:$B$501=B305)*(ROW($B$2:$B$501)&lt;&gt;ROW(B305)),""&amp;$A$2:$A$501,"")),""))</f>
        <v/>
      </c>
      <c r="I305" s="10"/>
    </row>
    <row r="306" spans="1:9" x14ac:dyDescent="0.4">
      <c r="A306" s="3">
        <v>305</v>
      </c>
      <c r="B306" s="3" t="s">
        <v>851</v>
      </c>
      <c r="C306" s="3" t="s">
        <v>927</v>
      </c>
      <c r="D306" s="4" t="s">
        <v>1364</v>
      </c>
      <c r="E306" s="3"/>
      <c r="F306" s="8">
        <v>45737</v>
      </c>
      <c r="G306" s="19" t="str">
        <f>IF('단어 시험장'!E306="❌","❌","")</f>
        <v/>
      </c>
      <c r="H306" s="23" t="str" cm="1">
        <f t="array" ref="H306">IF(B306="","",IF(COUNTIF($B$2:$B$501,B306)&gt;1,"No."&amp;_xlfn.TEXTJOIN(", ",TRUE,IF(($B$2:$B$501=B306)*(ROW($B$2:$B$501)&lt;&gt;ROW(B306)),""&amp;$A$2:$A$501,"")),""))</f>
        <v/>
      </c>
      <c r="I306" s="10"/>
    </row>
    <row r="307" spans="1:9" x14ac:dyDescent="0.4">
      <c r="A307" s="3">
        <v>306</v>
      </c>
      <c r="B307" s="3" t="s">
        <v>852</v>
      </c>
      <c r="C307" s="3" t="s">
        <v>928</v>
      </c>
      <c r="D307" s="4" t="s">
        <v>1365</v>
      </c>
      <c r="E307" s="3"/>
      <c r="F307" s="8">
        <v>45737</v>
      </c>
      <c r="G307" s="19" t="str">
        <f>IF('단어 시험장'!E307="❌","❌","")</f>
        <v/>
      </c>
      <c r="H307" s="23" t="str" cm="1">
        <f t="array" ref="H307">IF(B307="","",IF(COUNTIF($B$2:$B$501,B307)&gt;1,"No."&amp;_xlfn.TEXTJOIN(", ",TRUE,IF(($B$2:$B$501=B307)*(ROW($B$2:$B$501)&lt;&gt;ROW(B307)),""&amp;$A$2:$A$501,"")),""))</f>
        <v/>
      </c>
      <c r="I307" s="10"/>
    </row>
    <row r="308" spans="1:9" x14ac:dyDescent="0.4">
      <c r="A308" s="3">
        <v>307</v>
      </c>
      <c r="B308" s="3" t="s">
        <v>853</v>
      </c>
      <c r="C308" s="3" t="s">
        <v>929</v>
      </c>
      <c r="D308" s="4" t="s">
        <v>1366</v>
      </c>
      <c r="E308" s="3"/>
      <c r="F308" s="8">
        <v>45737</v>
      </c>
      <c r="G308" s="19" t="str">
        <f>IF('단어 시험장'!E308="❌","❌","")</f>
        <v/>
      </c>
      <c r="H308" s="23" t="str" cm="1">
        <f t="array" ref="H308">IF(B308="","",IF(COUNTIF($B$2:$B$501,B308)&gt;1,"No."&amp;_xlfn.TEXTJOIN(", ",TRUE,IF(($B$2:$B$501=B308)*(ROW($B$2:$B$501)&lt;&gt;ROW(B308)),""&amp;$A$2:$A$501,"")),""))</f>
        <v/>
      </c>
      <c r="I308" s="10"/>
    </row>
    <row r="309" spans="1:9" x14ac:dyDescent="0.4">
      <c r="A309" s="3">
        <v>308</v>
      </c>
      <c r="B309" s="3" t="s">
        <v>854</v>
      </c>
      <c r="C309" s="3" t="s">
        <v>1370</v>
      </c>
      <c r="D309" s="4" t="s">
        <v>1367</v>
      </c>
      <c r="E309" s="3"/>
      <c r="F309" s="8">
        <v>45737</v>
      </c>
      <c r="G309" s="19" t="str">
        <f>IF('단어 시험장'!E309="❌","❌","")</f>
        <v/>
      </c>
      <c r="H309" s="23" t="str" cm="1">
        <f t="array" ref="H309">IF(B309="","",IF(COUNTIF($B$2:$B$501,B309)&gt;1,"No."&amp;_xlfn.TEXTJOIN(", ",TRUE,IF(($B$2:$B$501=B309)*(ROW($B$2:$B$501)&lt;&gt;ROW(B309)),""&amp;$A$2:$A$501,"")),""))</f>
        <v/>
      </c>
      <c r="I309" s="10"/>
    </row>
    <row r="310" spans="1:9" x14ac:dyDescent="0.4">
      <c r="A310" s="3">
        <v>309</v>
      </c>
      <c r="B310" s="3" t="s">
        <v>855</v>
      </c>
      <c r="C310" s="3" t="s">
        <v>1369</v>
      </c>
      <c r="D310" s="4" t="s">
        <v>1368</v>
      </c>
      <c r="E310" s="3"/>
      <c r="F310" s="8">
        <v>45737</v>
      </c>
      <c r="G310" s="19" t="str">
        <f>IF('단어 시험장'!E310="❌","❌","")</f>
        <v/>
      </c>
      <c r="H310" s="23" t="str" cm="1">
        <f t="array" ref="H310">IF(B310="","",IF(COUNTIF($B$2:$B$501,B310)&gt;1,"No."&amp;_xlfn.TEXTJOIN(", ",TRUE,IF(($B$2:$B$501=B310)*(ROW($B$2:$B$501)&lt;&gt;ROW(B310)),""&amp;$A$2:$A$501,"")),""))</f>
        <v/>
      </c>
      <c r="I310" s="10"/>
    </row>
    <row r="311" spans="1:9" x14ac:dyDescent="0.4">
      <c r="A311" s="3">
        <v>310</v>
      </c>
      <c r="B311" s="3" t="s">
        <v>856</v>
      </c>
      <c r="C311" s="3" t="s">
        <v>930</v>
      </c>
      <c r="D311" s="4" t="s">
        <v>1371</v>
      </c>
      <c r="E311" s="3"/>
      <c r="F311" s="8">
        <v>45737</v>
      </c>
      <c r="G311" s="19" t="str">
        <f>IF('단어 시험장'!E311="❌","❌","")</f>
        <v/>
      </c>
      <c r="H311" s="23" t="str" cm="1">
        <f t="array" ref="H311">IF(B311="","",IF(COUNTIF($B$2:$B$501,B311)&gt;1,"No."&amp;_xlfn.TEXTJOIN(", ",TRUE,IF(($B$2:$B$501=B311)*(ROW($B$2:$B$501)&lt;&gt;ROW(B311)),""&amp;$A$2:$A$501,"")),""))</f>
        <v/>
      </c>
      <c r="I311" s="10"/>
    </row>
    <row r="312" spans="1:9" x14ac:dyDescent="0.4">
      <c r="A312" s="3">
        <v>311</v>
      </c>
      <c r="B312" s="3" t="s">
        <v>857</v>
      </c>
      <c r="C312" s="3" t="s">
        <v>931</v>
      </c>
      <c r="D312" s="4" t="s">
        <v>1374</v>
      </c>
      <c r="E312" s="3"/>
      <c r="F312" s="8">
        <v>45737</v>
      </c>
      <c r="G312" s="19" t="str">
        <f>IF('단어 시험장'!E312="❌","❌","")</f>
        <v/>
      </c>
      <c r="H312" s="23" t="str" cm="1">
        <f t="array" ref="H312">IF(B312="","",IF(COUNTIF($B$2:$B$501,B312)&gt;1,"No."&amp;_xlfn.TEXTJOIN(", ",TRUE,IF(($B$2:$B$501=B312)*(ROW($B$2:$B$501)&lt;&gt;ROW(B312)),""&amp;$A$2:$A$501,"")),""))</f>
        <v/>
      </c>
      <c r="I312" s="10"/>
    </row>
    <row r="313" spans="1:9" x14ac:dyDescent="0.4">
      <c r="A313" s="3">
        <v>312</v>
      </c>
      <c r="B313" s="3" t="s">
        <v>858</v>
      </c>
      <c r="C313" s="3" t="s">
        <v>932</v>
      </c>
      <c r="D313" s="4" t="s">
        <v>1375</v>
      </c>
      <c r="E313" s="3"/>
      <c r="F313" s="8">
        <v>45737</v>
      </c>
      <c r="G313" s="19" t="str">
        <f>IF('단어 시험장'!E313="❌","❌","")</f>
        <v/>
      </c>
      <c r="H313" s="23" t="str" cm="1">
        <f t="array" ref="H313">IF(B313="","",IF(COUNTIF($B$2:$B$501,B313)&gt;1,"No."&amp;_xlfn.TEXTJOIN(", ",TRUE,IF(($B$2:$B$501=B313)*(ROW($B$2:$B$501)&lt;&gt;ROW(B313)),""&amp;$A$2:$A$501,"")),""))</f>
        <v/>
      </c>
      <c r="I313" s="10"/>
    </row>
    <row r="314" spans="1:9" x14ac:dyDescent="0.4">
      <c r="A314" s="3">
        <v>313</v>
      </c>
      <c r="B314" s="3" t="s">
        <v>859</v>
      </c>
      <c r="C314" s="3" t="s">
        <v>933</v>
      </c>
      <c r="D314" s="4" t="s">
        <v>1376</v>
      </c>
      <c r="E314" s="3"/>
      <c r="F314" s="8">
        <v>45737</v>
      </c>
      <c r="G314" s="19" t="str">
        <f>IF('단어 시험장'!E314="❌","❌","")</f>
        <v/>
      </c>
      <c r="H314" s="23" t="str" cm="1">
        <f t="array" ref="H314">IF(B314="","",IF(COUNTIF($B$2:$B$501,B314)&gt;1,"No."&amp;_xlfn.TEXTJOIN(", ",TRUE,IF(($B$2:$B$501=B314)*(ROW($B$2:$B$501)&lt;&gt;ROW(B314)),""&amp;$A$2:$A$501,"")),""))</f>
        <v/>
      </c>
      <c r="I314" s="10"/>
    </row>
    <row r="315" spans="1:9" x14ac:dyDescent="0.4">
      <c r="A315" s="3">
        <v>314</v>
      </c>
      <c r="B315" s="3" t="s">
        <v>860</v>
      </c>
      <c r="C315" s="3" t="s">
        <v>934</v>
      </c>
      <c r="D315" s="4" t="s">
        <v>1377</v>
      </c>
      <c r="E315" s="3"/>
      <c r="F315" s="8">
        <v>45737</v>
      </c>
      <c r="G315" s="19" t="str">
        <f>IF('단어 시험장'!E315="❌","❌","")</f>
        <v/>
      </c>
      <c r="H315" s="23" t="str" cm="1">
        <f t="array" ref="H315">IF(B315="","",IF(COUNTIF($B$2:$B$501,B315)&gt;1,"No."&amp;_xlfn.TEXTJOIN(", ",TRUE,IF(($B$2:$B$501=B315)*(ROW($B$2:$B$501)&lt;&gt;ROW(B315)),""&amp;$A$2:$A$501,"")),""))</f>
        <v/>
      </c>
      <c r="I315" s="10"/>
    </row>
    <row r="316" spans="1:9" x14ac:dyDescent="0.4">
      <c r="A316" s="3">
        <v>315</v>
      </c>
      <c r="B316" s="3" t="s">
        <v>861</v>
      </c>
      <c r="C316" s="3" t="s">
        <v>935</v>
      </c>
      <c r="D316" s="4" t="s">
        <v>1378</v>
      </c>
      <c r="E316" s="3"/>
      <c r="F316" s="8">
        <v>45737</v>
      </c>
      <c r="G316" s="19" t="str">
        <f>IF('단어 시험장'!E316="❌","❌","")</f>
        <v/>
      </c>
      <c r="H316" s="23" t="str" cm="1">
        <f t="array" ref="H316">IF(B316="","",IF(COUNTIF($B$2:$B$501,B316)&gt;1,"No."&amp;_xlfn.TEXTJOIN(", ",TRUE,IF(($B$2:$B$501=B316)*(ROW($B$2:$B$501)&lt;&gt;ROW(B316)),""&amp;$A$2:$A$501,"")),""))</f>
        <v/>
      </c>
      <c r="I316" s="10"/>
    </row>
    <row r="317" spans="1:9" x14ac:dyDescent="0.4">
      <c r="A317" s="3">
        <v>316</v>
      </c>
      <c r="B317" s="3" t="s">
        <v>862</v>
      </c>
      <c r="C317" s="3" t="s">
        <v>936</v>
      </c>
      <c r="D317" s="4" t="s">
        <v>1379</v>
      </c>
      <c r="E317" s="3"/>
      <c r="F317" s="8">
        <v>45737</v>
      </c>
      <c r="G317" s="19" t="str">
        <f>IF('단어 시험장'!E317="❌","❌","")</f>
        <v/>
      </c>
      <c r="H317" s="23" t="str" cm="1">
        <f t="array" ref="H317">IF(B317="","",IF(COUNTIF($B$2:$B$501,B317)&gt;1,"No."&amp;_xlfn.TEXTJOIN(", ",TRUE,IF(($B$2:$B$501=B317)*(ROW($B$2:$B$501)&lt;&gt;ROW(B317)),""&amp;$A$2:$A$501,"")),""))</f>
        <v/>
      </c>
      <c r="I317" s="10"/>
    </row>
    <row r="318" spans="1:9" x14ac:dyDescent="0.4">
      <c r="A318" s="3">
        <v>317</v>
      </c>
      <c r="B318" s="3" t="s">
        <v>863</v>
      </c>
      <c r="C318" s="3" t="s">
        <v>937</v>
      </c>
      <c r="D318" s="4" t="s">
        <v>1380</v>
      </c>
      <c r="E318" s="3"/>
      <c r="F318" s="8">
        <v>45737</v>
      </c>
      <c r="G318" s="19" t="str">
        <f>IF('단어 시험장'!E318="❌","❌","")</f>
        <v/>
      </c>
      <c r="H318" s="23" t="str" cm="1">
        <f t="array" ref="H318">IF(B318="","",IF(COUNTIF($B$2:$B$501,B318)&gt;1,"No."&amp;_xlfn.TEXTJOIN(", ",TRUE,IF(($B$2:$B$501=B318)*(ROW($B$2:$B$501)&lt;&gt;ROW(B318)),""&amp;$A$2:$A$501,"")),""))</f>
        <v/>
      </c>
      <c r="I318" s="10"/>
    </row>
    <row r="319" spans="1:9" x14ac:dyDescent="0.4">
      <c r="A319" s="3">
        <v>318</v>
      </c>
      <c r="B319" s="3" t="s">
        <v>864</v>
      </c>
      <c r="C319" s="3" t="s">
        <v>938</v>
      </c>
      <c r="D319" s="4" t="s">
        <v>1381</v>
      </c>
      <c r="E319" s="3"/>
      <c r="F319" s="8">
        <v>45737</v>
      </c>
      <c r="G319" s="19" t="str">
        <f>IF('단어 시험장'!E319="❌","❌","")</f>
        <v/>
      </c>
      <c r="H319" s="23" t="str" cm="1">
        <f t="array" ref="H319">IF(B319="","",IF(COUNTIF($B$2:$B$501,B319)&gt;1,"No."&amp;_xlfn.TEXTJOIN(", ",TRUE,IF(($B$2:$B$501=B319)*(ROW($B$2:$B$501)&lt;&gt;ROW(B319)),""&amp;$A$2:$A$501,"")),""))</f>
        <v/>
      </c>
      <c r="I319" s="10"/>
    </row>
    <row r="320" spans="1:9" x14ac:dyDescent="0.4">
      <c r="A320" s="3">
        <v>319</v>
      </c>
      <c r="B320" s="3" t="s">
        <v>865</v>
      </c>
      <c r="C320" s="3" t="s">
        <v>939</v>
      </c>
      <c r="D320" s="4" t="s">
        <v>1382</v>
      </c>
      <c r="E320" s="3"/>
      <c r="F320" s="8">
        <v>45737</v>
      </c>
      <c r="G320" s="19" t="str">
        <f>IF('단어 시험장'!E320="❌","❌","")</f>
        <v/>
      </c>
      <c r="H320" s="23" t="str" cm="1">
        <f t="array" ref="H320">IF(B320="","",IF(COUNTIF($B$2:$B$501,B320)&gt;1,"No."&amp;_xlfn.TEXTJOIN(", ",TRUE,IF(($B$2:$B$501=B320)*(ROW($B$2:$B$501)&lt;&gt;ROW(B320)),""&amp;$A$2:$A$501,"")),""))</f>
        <v/>
      </c>
      <c r="I320" s="10"/>
    </row>
    <row r="321" spans="1:9" x14ac:dyDescent="0.4">
      <c r="A321" s="3">
        <v>320</v>
      </c>
      <c r="B321" s="3" t="s">
        <v>866</v>
      </c>
      <c r="C321" s="3" t="s">
        <v>940</v>
      </c>
      <c r="D321" s="4" t="s">
        <v>1383</v>
      </c>
      <c r="E321" s="3"/>
      <c r="F321" s="8">
        <v>45737</v>
      </c>
      <c r="G321" s="19" t="str">
        <f>IF('단어 시험장'!E321="❌","❌","")</f>
        <v/>
      </c>
      <c r="H321" s="23" t="str" cm="1">
        <f t="array" ref="H321">IF(B321="","",IF(COUNTIF($B$2:$B$501,B321)&gt;1,"No."&amp;_xlfn.TEXTJOIN(", ",TRUE,IF(($B$2:$B$501=B321)*(ROW($B$2:$B$501)&lt;&gt;ROW(B321)),""&amp;$A$2:$A$501,"")),""))</f>
        <v/>
      </c>
      <c r="I321" s="10"/>
    </row>
    <row r="322" spans="1:9" x14ac:dyDescent="0.4">
      <c r="A322" s="3">
        <v>321</v>
      </c>
      <c r="B322" s="3" t="s">
        <v>867</v>
      </c>
      <c r="C322" s="3" t="s">
        <v>941</v>
      </c>
      <c r="D322" s="4" t="s">
        <v>1384</v>
      </c>
      <c r="E322" s="3"/>
      <c r="F322" s="8">
        <v>45737</v>
      </c>
      <c r="G322" s="19" t="str">
        <f>IF('단어 시험장'!E322="❌","❌","")</f>
        <v/>
      </c>
      <c r="H322" s="23" t="str" cm="1">
        <f t="array" ref="H322">IF(B322="","",IF(COUNTIF($B$2:$B$501,B322)&gt;1,"No."&amp;_xlfn.TEXTJOIN(", ",TRUE,IF(($B$2:$B$501=B322)*(ROW($B$2:$B$501)&lt;&gt;ROW(B322)),""&amp;$A$2:$A$501,"")),""))</f>
        <v/>
      </c>
      <c r="I322" s="10"/>
    </row>
    <row r="323" spans="1:9" x14ac:dyDescent="0.4">
      <c r="A323" s="3">
        <v>322</v>
      </c>
      <c r="B323" s="3" t="s">
        <v>868</v>
      </c>
      <c r="C323" s="3" t="s">
        <v>942</v>
      </c>
      <c r="D323" s="4" t="s">
        <v>1385</v>
      </c>
      <c r="E323" s="3"/>
      <c r="F323" s="8">
        <v>45737</v>
      </c>
      <c r="G323" s="19" t="str">
        <f>IF('단어 시험장'!E323="❌","❌","")</f>
        <v/>
      </c>
      <c r="H323" s="23" t="str" cm="1">
        <f t="array" ref="H323">IF(B323="","",IF(COUNTIF($B$2:$B$501,B323)&gt;1,"No."&amp;_xlfn.TEXTJOIN(", ",TRUE,IF(($B$2:$B$501=B323)*(ROW($B$2:$B$501)&lt;&gt;ROW(B323)),""&amp;$A$2:$A$501,"")),""))</f>
        <v/>
      </c>
      <c r="I323" s="10"/>
    </row>
    <row r="324" spans="1:9" x14ac:dyDescent="0.4">
      <c r="A324" s="3">
        <v>323</v>
      </c>
      <c r="B324" s="3" t="s">
        <v>869</v>
      </c>
      <c r="C324" s="3" t="s">
        <v>943</v>
      </c>
      <c r="D324" s="4" t="s">
        <v>1386</v>
      </c>
      <c r="E324" s="3"/>
      <c r="F324" s="8">
        <v>45737</v>
      </c>
      <c r="G324" s="19" t="str">
        <f>IF('단어 시험장'!E324="❌","❌","")</f>
        <v/>
      </c>
      <c r="H324" s="23" t="str" cm="1">
        <f t="array" ref="H324">IF(B324="","",IF(COUNTIF($B$2:$B$501,B324)&gt;1,"No."&amp;_xlfn.TEXTJOIN(", ",TRUE,IF(($B$2:$B$501=B324)*(ROW($B$2:$B$501)&lt;&gt;ROW(B324)),""&amp;$A$2:$A$501,"")),""))</f>
        <v/>
      </c>
      <c r="I324" s="10"/>
    </row>
    <row r="325" spans="1:9" x14ac:dyDescent="0.4">
      <c r="A325" s="3">
        <v>324</v>
      </c>
      <c r="B325" s="3" t="s">
        <v>870</v>
      </c>
      <c r="C325" s="3" t="s">
        <v>944</v>
      </c>
      <c r="D325" s="4" t="s">
        <v>1387</v>
      </c>
      <c r="E325" s="3"/>
      <c r="F325" s="8">
        <v>45737</v>
      </c>
      <c r="G325" s="19" t="str">
        <f>IF('단어 시험장'!E325="❌","❌","")</f>
        <v/>
      </c>
      <c r="H325" s="23" t="str" cm="1">
        <f t="array" ref="H325">IF(B325="","",IF(COUNTIF($B$2:$B$501,B325)&gt;1,"No."&amp;_xlfn.TEXTJOIN(", ",TRUE,IF(($B$2:$B$501=B325)*(ROW($B$2:$B$501)&lt;&gt;ROW(B325)),""&amp;$A$2:$A$501,"")),""))</f>
        <v/>
      </c>
      <c r="I325" s="10"/>
    </row>
    <row r="326" spans="1:9" x14ac:dyDescent="0.4">
      <c r="A326" s="3">
        <v>325</v>
      </c>
      <c r="B326" s="3" t="s">
        <v>871</v>
      </c>
      <c r="C326" s="3" t="s">
        <v>945</v>
      </c>
      <c r="D326" s="4" t="s">
        <v>1388</v>
      </c>
      <c r="E326" s="3"/>
      <c r="F326" s="8">
        <v>45737</v>
      </c>
      <c r="G326" s="19" t="str">
        <f>IF('단어 시험장'!E326="❌","❌","")</f>
        <v/>
      </c>
      <c r="H326" s="23" t="str" cm="1">
        <f t="array" ref="H326">IF(B326="","",IF(COUNTIF($B$2:$B$501,B326)&gt;1,"No."&amp;_xlfn.TEXTJOIN(", ",TRUE,IF(($B$2:$B$501=B326)*(ROW($B$2:$B$501)&lt;&gt;ROW(B326)),""&amp;$A$2:$A$501,"")),""))</f>
        <v/>
      </c>
      <c r="I326" s="10"/>
    </row>
    <row r="327" spans="1:9" x14ac:dyDescent="0.4">
      <c r="A327" s="3">
        <v>326</v>
      </c>
      <c r="B327" s="3" t="s">
        <v>872</v>
      </c>
      <c r="C327" s="3" t="s">
        <v>946</v>
      </c>
      <c r="D327" s="4" t="s">
        <v>1389</v>
      </c>
      <c r="E327" s="3"/>
      <c r="F327" s="8">
        <v>45737</v>
      </c>
      <c r="G327" s="19" t="str">
        <f>IF('단어 시험장'!E327="❌","❌","")</f>
        <v/>
      </c>
      <c r="H327" s="23" t="str" cm="1">
        <f t="array" ref="H327">IF(B327="","",IF(COUNTIF($B$2:$B$501,B327)&gt;1,"No."&amp;_xlfn.TEXTJOIN(", ",TRUE,IF(($B$2:$B$501=B327)*(ROW($B$2:$B$501)&lt;&gt;ROW(B327)),""&amp;$A$2:$A$501,"")),""))</f>
        <v/>
      </c>
      <c r="I327" s="10"/>
    </row>
    <row r="328" spans="1:9" x14ac:dyDescent="0.4">
      <c r="A328" s="3">
        <v>327</v>
      </c>
      <c r="B328" s="3" t="s">
        <v>873</v>
      </c>
      <c r="C328" s="3" t="s">
        <v>947</v>
      </c>
      <c r="D328" s="4" t="s">
        <v>1390</v>
      </c>
      <c r="E328" s="3"/>
      <c r="F328" s="8">
        <v>45737</v>
      </c>
      <c r="G328" s="19" t="str">
        <f>IF('단어 시험장'!E328="❌","❌","")</f>
        <v/>
      </c>
      <c r="H328" s="23" t="str" cm="1">
        <f t="array" ref="H328">IF(B328="","",IF(COUNTIF($B$2:$B$501,B328)&gt;1,"No."&amp;_xlfn.TEXTJOIN(", ",TRUE,IF(($B$2:$B$501=B328)*(ROW($B$2:$B$501)&lt;&gt;ROW(B328)),""&amp;$A$2:$A$501,"")),""))</f>
        <v/>
      </c>
      <c r="I328" s="10"/>
    </row>
    <row r="329" spans="1:9" x14ac:dyDescent="0.4">
      <c r="A329" s="3">
        <v>328</v>
      </c>
      <c r="B329" s="3" t="s">
        <v>874</v>
      </c>
      <c r="C329" s="3" t="s">
        <v>948</v>
      </c>
      <c r="D329" s="4" t="s">
        <v>1391</v>
      </c>
      <c r="E329" s="3"/>
      <c r="F329" s="8">
        <v>45737</v>
      </c>
      <c r="G329" s="19" t="str">
        <f>IF('단어 시험장'!E329="❌","❌","")</f>
        <v/>
      </c>
      <c r="H329" s="23" t="str" cm="1">
        <f t="array" ref="H329">IF(B329="","",IF(COUNTIF($B$2:$B$501,B329)&gt;1,"No."&amp;_xlfn.TEXTJOIN(", ",TRUE,IF(($B$2:$B$501=B329)*(ROW($B$2:$B$501)&lt;&gt;ROW(B329)),""&amp;$A$2:$A$501,"")),""))</f>
        <v/>
      </c>
      <c r="I329" s="10"/>
    </row>
    <row r="330" spans="1:9" x14ac:dyDescent="0.4">
      <c r="A330" s="3">
        <v>329</v>
      </c>
      <c r="B330" s="3" t="s">
        <v>875</v>
      </c>
      <c r="C330" s="3" t="s">
        <v>949</v>
      </c>
      <c r="D330" s="4" t="s">
        <v>1394</v>
      </c>
      <c r="E330" s="3"/>
      <c r="F330" s="8">
        <v>45737</v>
      </c>
      <c r="G330" s="19" t="str">
        <f>IF('단어 시험장'!E330="❌","❌","")</f>
        <v/>
      </c>
      <c r="H330" s="23" t="str" cm="1">
        <f t="array" ref="H330">IF(B330="","",IF(COUNTIF($B$2:$B$501,B330)&gt;1,"No."&amp;_xlfn.TEXTJOIN(", ",TRUE,IF(($B$2:$B$501=B330)*(ROW($B$2:$B$501)&lt;&gt;ROW(B330)),""&amp;$A$2:$A$501,"")),""))</f>
        <v/>
      </c>
      <c r="I330" s="10"/>
    </row>
    <row r="331" spans="1:9" x14ac:dyDescent="0.4">
      <c r="A331" s="3">
        <v>330</v>
      </c>
      <c r="B331" s="3" t="s">
        <v>876</v>
      </c>
      <c r="C331" s="3" t="s">
        <v>950</v>
      </c>
      <c r="D331" s="4" t="s">
        <v>1395</v>
      </c>
      <c r="E331" s="3"/>
      <c r="F331" s="8">
        <v>45737</v>
      </c>
      <c r="G331" s="19" t="str">
        <f>IF('단어 시험장'!E331="❌","❌","")</f>
        <v/>
      </c>
      <c r="H331" s="23" t="str" cm="1">
        <f t="array" ref="H331">IF(B331="","",IF(COUNTIF($B$2:$B$501,B331)&gt;1,"No."&amp;_xlfn.TEXTJOIN(", ",TRUE,IF(($B$2:$B$501=B331)*(ROW($B$2:$B$501)&lt;&gt;ROW(B331)),""&amp;$A$2:$A$501,"")),""))</f>
        <v/>
      </c>
      <c r="I331" s="10"/>
    </row>
    <row r="332" spans="1:9" x14ac:dyDescent="0.4">
      <c r="A332" s="3">
        <v>331</v>
      </c>
      <c r="B332" s="3" t="s">
        <v>877</v>
      </c>
      <c r="C332" s="3" t="s">
        <v>951</v>
      </c>
      <c r="D332" s="4" t="s">
        <v>1396</v>
      </c>
      <c r="E332" s="3"/>
      <c r="F332" s="8">
        <v>45737</v>
      </c>
      <c r="G332" s="19" t="str">
        <f>IF('단어 시험장'!E332="❌","❌","")</f>
        <v/>
      </c>
      <c r="H332" s="23" t="str" cm="1">
        <f t="array" ref="H332">IF(B332="","",IF(COUNTIF($B$2:$B$501,B332)&gt;1,"No."&amp;_xlfn.TEXTJOIN(", ",TRUE,IF(($B$2:$B$501=B332)*(ROW($B$2:$B$501)&lt;&gt;ROW(B332)),""&amp;$A$2:$A$501,"")),""))</f>
        <v/>
      </c>
      <c r="I332" s="10"/>
    </row>
    <row r="333" spans="1:9" x14ac:dyDescent="0.4">
      <c r="A333" s="3">
        <v>332</v>
      </c>
      <c r="B333" s="3" t="s">
        <v>878</v>
      </c>
      <c r="C333" s="3" t="s">
        <v>952</v>
      </c>
      <c r="D333" s="4" t="s">
        <v>1397</v>
      </c>
      <c r="E333" s="3"/>
      <c r="F333" s="8">
        <v>45737</v>
      </c>
      <c r="G333" s="19" t="str">
        <f>IF('단어 시험장'!E333="❌","❌","")</f>
        <v/>
      </c>
      <c r="H333" s="23" t="str" cm="1">
        <f t="array" ref="H333">IF(B333="","",IF(COUNTIF($B$2:$B$501,B333)&gt;1,"No."&amp;_xlfn.TEXTJOIN(", ",TRUE,IF(($B$2:$B$501=B333)*(ROW($B$2:$B$501)&lt;&gt;ROW(B333)),""&amp;$A$2:$A$501,"")),""))</f>
        <v/>
      </c>
      <c r="I333" s="10"/>
    </row>
    <row r="334" spans="1:9" x14ac:dyDescent="0.4">
      <c r="A334" s="3">
        <v>333</v>
      </c>
      <c r="B334" s="3" t="s">
        <v>879</v>
      </c>
      <c r="C334" s="3" t="s">
        <v>953</v>
      </c>
      <c r="D334" s="4" t="s">
        <v>1398</v>
      </c>
      <c r="E334" s="3"/>
      <c r="F334" s="8">
        <v>45737</v>
      </c>
      <c r="G334" s="19" t="str">
        <f>IF('단어 시험장'!E334="❌","❌","")</f>
        <v/>
      </c>
      <c r="H334" s="23" t="str" cm="1">
        <f t="array" ref="H334">IF(B334="","",IF(COUNTIF($B$2:$B$501,B334)&gt;1,"No."&amp;_xlfn.TEXTJOIN(", ",TRUE,IF(($B$2:$B$501=B334)*(ROW($B$2:$B$501)&lt;&gt;ROW(B334)),""&amp;$A$2:$A$501,"")),""))</f>
        <v/>
      </c>
      <c r="I334" s="10"/>
    </row>
    <row r="335" spans="1:9" x14ac:dyDescent="0.4">
      <c r="A335" s="3">
        <v>334</v>
      </c>
      <c r="B335" s="3" t="s">
        <v>880</v>
      </c>
      <c r="C335" s="3" t="s">
        <v>954</v>
      </c>
      <c r="D335" s="4" t="s">
        <v>1399</v>
      </c>
      <c r="E335" s="3"/>
      <c r="F335" s="8">
        <v>45737</v>
      </c>
      <c r="G335" s="19" t="str">
        <f>IF('단어 시험장'!E335="❌","❌","")</f>
        <v/>
      </c>
      <c r="H335" s="23" t="str" cm="1">
        <f t="array" ref="H335">IF(B335="","",IF(COUNTIF($B$2:$B$501,B335)&gt;1,"No."&amp;_xlfn.TEXTJOIN(", ",TRUE,IF(($B$2:$B$501=B335)*(ROW($B$2:$B$501)&lt;&gt;ROW(B335)),""&amp;$A$2:$A$501,"")),""))</f>
        <v/>
      </c>
      <c r="I335" s="10"/>
    </row>
    <row r="336" spans="1:9" x14ac:dyDescent="0.4">
      <c r="A336" s="3">
        <v>335</v>
      </c>
      <c r="B336" s="3" t="s">
        <v>881</v>
      </c>
      <c r="C336" s="3" t="s">
        <v>955</v>
      </c>
      <c r="D336" s="4" t="s">
        <v>1400</v>
      </c>
      <c r="E336" s="3"/>
      <c r="F336" s="8">
        <v>45737</v>
      </c>
      <c r="G336" s="19" t="str">
        <f>IF('단어 시험장'!E336="❌","❌","")</f>
        <v/>
      </c>
      <c r="H336" s="23" t="str" cm="1">
        <f t="array" ref="H336">IF(B336="","",IF(COUNTIF($B$2:$B$501,B336)&gt;1,"No."&amp;_xlfn.TEXTJOIN(", ",TRUE,IF(($B$2:$B$501=B336)*(ROW($B$2:$B$501)&lt;&gt;ROW(B336)),""&amp;$A$2:$A$501,"")),""))</f>
        <v/>
      </c>
      <c r="I336" s="10"/>
    </row>
    <row r="337" spans="1:9" x14ac:dyDescent="0.4">
      <c r="A337" s="3">
        <v>336</v>
      </c>
      <c r="B337" s="3" t="s">
        <v>882</v>
      </c>
      <c r="C337" s="3" t="s">
        <v>956</v>
      </c>
      <c r="D337" s="4" t="s">
        <v>1401</v>
      </c>
      <c r="E337" s="3"/>
      <c r="F337" s="8">
        <v>45737</v>
      </c>
      <c r="G337" s="19" t="str">
        <f>IF('단어 시험장'!E337="❌","❌","")</f>
        <v/>
      </c>
      <c r="H337" s="23" t="str" cm="1">
        <f t="array" ref="H337">IF(B337="","",IF(COUNTIF($B$2:$B$501,B337)&gt;1,"No."&amp;_xlfn.TEXTJOIN(", ",TRUE,IF(($B$2:$B$501=B337)*(ROW($B$2:$B$501)&lt;&gt;ROW(B337)),""&amp;$A$2:$A$501,"")),""))</f>
        <v/>
      </c>
      <c r="I337" s="10"/>
    </row>
    <row r="338" spans="1:9" x14ac:dyDescent="0.4">
      <c r="A338" s="3">
        <v>337</v>
      </c>
      <c r="B338" s="3" t="s">
        <v>883</v>
      </c>
      <c r="C338" s="3" t="s">
        <v>957</v>
      </c>
      <c r="D338" s="4" t="s">
        <v>1402</v>
      </c>
      <c r="E338" s="3"/>
      <c r="F338" s="8">
        <v>45737</v>
      </c>
      <c r="G338" s="19" t="str">
        <f>IF('단어 시험장'!E338="❌","❌","")</f>
        <v/>
      </c>
      <c r="H338" s="23" t="str" cm="1">
        <f t="array" ref="H338">IF(B338="","",IF(COUNTIF($B$2:$B$501,B338)&gt;1,"No."&amp;_xlfn.TEXTJOIN(", ",TRUE,IF(($B$2:$B$501=B338)*(ROW($B$2:$B$501)&lt;&gt;ROW(B338)),""&amp;$A$2:$A$501,"")),""))</f>
        <v/>
      </c>
      <c r="I338" s="10"/>
    </row>
    <row r="339" spans="1:9" x14ac:dyDescent="0.4">
      <c r="A339" s="3">
        <v>338</v>
      </c>
      <c r="B339" s="3" t="s">
        <v>884</v>
      </c>
      <c r="C339" s="3" t="s">
        <v>958</v>
      </c>
      <c r="D339" s="4" t="s">
        <v>1403</v>
      </c>
      <c r="E339" s="3"/>
      <c r="F339" s="8">
        <v>45737</v>
      </c>
      <c r="G339" s="19" t="str">
        <f>IF('단어 시험장'!E339="❌","❌","")</f>
        <v/>
      </c>
      <c r="H339" s="23" t="str" cm="1">
        <f t="array" ref="H339">IF(B339="","",IF(COUNTIF($B$2:$B$501,B339)&gt;1,"No."&amp;_xlfn.TEXTJOIN(", ",TRUE,IF(($B$2:$B$501=B339)*(ROW($B$2:$B$501)&lt;&gt;ROW(B339)),""&amp;$A$2:$A$501,"")),""))</f>
        <v/>
      </c>
      <c r="I339" s="10"/>
    </row>
    <row r="340" spans="1:9" x14ac:dyDescent="0.4">
      <c r="A340" s="3">
        <v>339</v>
      </c>
      <c r="B340" s="3" t="s">
        <v>885</v>
      </c>
      <c r="C340" s="3" t="s">
        <v>268</v>
      </c>
      <c r="D340" s="4" t="s">
        <v>1404</v>
      </c>
      <c r="E340" s="3"/>
      <c r="F340" s="8">
        <v>45737</v>
      </c>
      <c r="G340" s="19" t="str">
        <f>IF('단어 시험장'!E340="❌","❌","")</f>
        <v/>
      </c>
      <c r="H340" s="23" t="str" cm="1">
        <f t="array" ref="H340">IF(B340="","",IF(COUNTIF($B$2:$B$501,B340)&gt;1,"No."&amp;_xlfn.TEXTJOIN(", ",TRUE,IF(($B$2:$B$501=B340)*(ROW($B$2:$B$501)&lt;&gt;ROW(B340)),""&amp;$A$2:$A$501,"")),""))</f>
        <v/>
      </c>
      <c r="I340" s="10"/>
    </row>
    <row r="341" spans="1:9" x14ac:dyDescent="0.4">
      <c r="A341" s="3">
        <v>340</v>
      </c>
      <c r="B341" s="3" t="s">
        <v>886</v>
      </c>
      <c r="C341" s="3" t="s">
        <v>959</v>
      </c>
      <c r="D341" s="4" t="s">
        <v>1405</v>
      </c>
      <c r="E341" s="3"/>
      <c r="F341" s="8">
        <v>45737</v>
      </c>
      <c r="G341" s="19" t="str">
        <f>IF('단어 시험장'!E341="❌","❌","")</f>
        <v/>
      </c>
      <c r="H341" s="23" t="str" cm="1">
        <f t="array" ref="H341">IF(B341="","",IF(COUNTIF($B$2:$B$501,B341)&gt;1,"No."&amp;_xlfn.TEXTJOIN(", ",TRUE,IF(($B$2:$B$501=B341)*(ROW($B$2:$B$501)&lt;&gt;ROW(B341)),""&amp;$A$2:$A$501,"")),""))</f>
        <v/>
      </c>
      <c r="I341" s="10"/>
    </row>
    <row r="342" spans="1:9" x14ac:dyDescent="0.4">
      <c r="A342" s="3">
        <v>341</v>
      </c>
      <c r="B342" s="3" t="s">
        <v>887</v>
      </c>
      <c r="C342" s="3" t="s">
        <v>960</v>
      </c>
      <c r="D342" s="4" t="s">
        <v>1406</v>
      </c>
      <c r="E342" s="3"/>
      <c r="F342" s="8">
        <v>45737</v>
      </c>
      <c r="G342" s="19" t="str">
        <f>IF('단어 시험장'!E342="❌","❌","")</f>
        <v/>
      </c>
      <c r="H342" s="23" t="str" cm="1">
        <f t="array" ref="H342">IF(B342="","",IF(COUNTIF($B$2:$B$501,B342)&gt;1,"No."&amp;_xlfn.TEXTJOIN(", ",TRUE,IF(($B$2:$B$501=B342)*(ROW($B$2:$B$501)&lt;&gt;ROW(B342)),""&amp;$A$2:$A$501,"")),""))</f>
        <v/>
      </c>
      <c r="I342" s="10"/>
    </row>
    <row r="343" spans="1:9" x14ac:dyDescent="0.4">
      <c r="A343" s="3">
        <v>342</v>
      </c>
      <c r="B343" s="3" t="s">
        <v>888</v>
      </c>
      <c r="C343" s="3" t="s">
        <v>961</v>
      </c>
      <c r="D343" s="4" t="s">
        <v>1407</v>
      </c>
      <c r="E343" s="3"/>
      <c r="F343" s="8">
        <v>45737</v>
      </c>
      <c r="G343" s="19" t="str">
        <f>IF('단어 시험장'!E343="❌","❌","")</f>
        <v/>
      </c>
      <c r="H343" s="23" t="str" cm="1">
        <f t="array" ref="H343">IF(B343="","",IF(COUNTIF($B$2:$B$501,B343)&gt;1,"No."&amp;_xlfn.TEXTJOIN(", ",TRUE,IF(($B$2:$B$501=B343)*(ROW($B$2:$B$501)&lt;&gt;ROW(B343)),""&amp;$A$2:$A$501,"")),""))</f>
        <v/>
      </c>
      <c r="I343" s="10"/>
    </row>
    <row r="344" spans="1:9" x14ac:dyDescent="0.4">
      <c r="A344" s="3">
        <v>343</v>
      </c>
      <c r="B344" s="3" t="s">
        <v>889</v>
      </c>
      <c r="C344" s="3" t="s">
        <v>962</v>
      </c>
      <c r="D344" s="4" t="s">
        <v>1408</v>
      </c>
      <c r="E344" s="3"/>
      <c r="F344" s="8">
        <v>45737</v>
      </c>
      <c r="G344" s="19" t="str">
        <f>IF('단어 시험장'!E344="❌","❌","")</f>
        <v/>
      </c>
      <c r="H344" s="23" t="str" cm="1">
        <f t="array" ref="H344">IF(B344="","",IF(COUNTIF($B$2:$B$501,B344)&gt;1,"No."&amp;_xlfn.TEXTJOIN(", ",TRUE,IF(($B$2:$B$501=B344)*(ROW($B$2:$B$501)&lt;&gt;ROW(B344)),""&amp;$A$2:$A$501,"")),""))</f>
        <v/>
      </c>
      <c r="I344" s="10"/>
    </row>
    <row r="345" spans="1:9" x14ac:dyDescent="0.4">
      <c r="A345" s="3">
        <v>344</v>
      </c>
      <c r="B345" s="3" t="s">
        <v>890</v>
      </c>
      <c r="C345" s="3" t="s">
        <v>963</v>
      </c>
      <c r="D345" s="4" t="s">
        <v>1409</v>
      </c>
      <c r="E345" s="3"/>
      <c r="F345" s="8">
        <v>45737</v>
      </c>
      <c r="G345" s="19" t="str">
        <f>IF('단어 시험장'!E345="❌","❌","")</f>
        <v/>
      </c>
      <c r="H345" s="23" t="str" cm="1">
        <f t="array" ref="H345">IF(B345="","",IF(COUNTIF($B$2:$B$501,B345)&gt;1,"No."&amp;_xlfn.TEXTJOIN(", ",TRUE,IF(($B$2:$B$501=B345)*(ROW($B$2:$B$501)&lt;&gt;ROW(B345)),""&amp;$A$2:$A$501,"")),""))</f>
        <v/>
      </c>
      <c r="I345" s="10"/>
    </row>
    <row r="346" spans="1:9" x14ac:dyDescent="0.4">
      <c r="A346" s="3">
        <v>345</v>
      </c>
      <c r="B346" s="3" t="s">
        <v>891</v>
      </c>
      <c r="C346" s="3" t="s">
        <v>964</v>
      </c>
      <c r="D346" s="4" t="s">
        <v>1410</v>
      </c>
      <c r="E346" s="3"/>
      <c r="F346" s="8">
        <v>45737</v>
      </c>
      <c r="G346" s="19" t="str">
        <f>IF('단어 시험장'!E346="❌","❌","")</f>
        <v/>
      </c>
      <c r="H346" s="23" t="str" cm="1">
        <f t="array" ref="H346">IF(B346="","",IF(COUNTIF($B$2:$B$501,B346)&gt;1,"No."&amp;_xlfn.TEXTJOIN(", ",TRUE,IF(($B$2:$B$501=B346)*(ROW($B$2:$B$501)&lt;&gt;ROW(B346)),""&amp;$A$2:$A$501,"")),""))</f>
        <v/>
      </c>
      <c r="I346" s="10"/>
    </row>
    <row r="347" spans="1:9" x14ac:dyDescent="0.4">
      <c r="A347" s="3">
        <v>346</v>
      </c>
      <c r="B347" s="3" t="s">
        <v>892</v>
      </c>
      <c r="C347" s="3" t="s">
        <v>965</v>
      </c>
      <c r="D347" s="4" t="s">
        <v>1411</v>
      </c>
      <c r="E347" s="3"/>
      <c r="F347" s="8">
        <v>45737</v>
      </c>
      <c r="G347" s="19" t="str">
        <f>IF('단어 시험장'!E347="❌","❌","")</f>
        <v/>
      </c>
      <c r="H347" s="23" t="str" cm="1">
        <f t="array" ref="H347">IF(B347="","",IF(COUNTIF($B$2:$B$501,B347)&gt;1,"No."&amp;_xlfn.TEXTJOIN(", ",TRUE,IF(($B$2:$B$501=B347)*(ROW($B$2:$B$501)&lt;&gt;ROW(B347)),""&amp;$A$2:$A$501,"")),""))</f>
        <v/>
      </c>
      <c r="I347" s="10"/>
    </row>
    <row r="348" spans="1:9" x14ac:dyDescent="0.4">
      <c r="A348" s="3">
        <v>347</v>
      </c>
      <c r="B348" s="3" t="s">
        <v>893</v>
      </c>
      <c r="C348" s="3" t="s">
        <v>966</v>
      </c>
      <c r="D348" s="4" t="s">
        <v>1412</v>
      </c>
      <c r="E348" s="3"/>
      <c r="F348" s="8">
        <v>45737</v>
      </c>
      <c r="G348" s="19" t="str">
        <f>IF('단어 시험장'!E348="❌","❌","")</f>
        <v/>
      </c>
      <c r="H348" s="23" t="str" cm="1">
        <f t="array" ref="H348">IF(B348="","",IF(COUNTIF($B$2:$B$501,B348)&gt;1,"No."&amp;_xlfn.TEXTJOIN(", ",TRUE,IF(($B$2:$B$501=B348)*(ROW($B$2:$B$501)&lt;&gt;ROW(B348)),""&amp;$A$2:$A$501,"")),""))</f>
        <v/>
      </c>
      <c r="I348" s="10"/>
    </row>
    <row r="349" spans="1:9" x14ac:dyDescent="0.4">
      <c r="A349" s="3">
        <v>348</v>
      </c>
      <c r="B349" s="3" t="s">
        <v>894</v>
      </c>
      <c r="C349" s="3" t="s">
        <v>967</v>
      </c>
      <c r="D349" s="4" t="s">
        <v>1413</v>
      </c>
      <c r="E349" s="3"/>
      <c r="F349" s="8">
        <v>45737</v>
      </c>
      <c r="G349" s="19" t="str">
        <f>IF('단어 시험장'!E349="❌","❌","")</f>
        <v/>
      </c>
      <c r="H349" s="23" t="str" cm="1">
        <f t="array" ref="H349">IF(B349="","",IF(COUNTIF($B$2:$B$501,B349)&gt;1,"No."&amp;_xlfn.TEXTJOIN(", ",TRUE,IF(($B$2:$B$501=B349)*(ROW($B$2:$B$501)&lt;&gt;ROW(B349)),""&amp;$A$2:$A$501,"")),""))</f>
        <v/>
      </c>
      <c r="I349" s="10"/>
    </row>
    <row r="350" spans="1:9" x14ac:dyDescent="0.4">
      <c r="A350" s="3">
        <v>349</v>
      </c>
      <c r="B350" s="3" t="s">
        <v>895</v>
      </c>
      <c r="C350" s="3" t="s">
        <v>968</v>
      </c>
      <c r="D350" s="4" t="s">
        <v>1414</v>
      </c>
      <c r="E350" s="3"/>
      <c r="F350" s="8">
        <v>45737</v>
      </c>
      <c r="G350" s="19" t="str">
        <f>IF('단어 시험장'!E350="❌","❌","")</f>
        <v/>
      </c>
      <c r="H350" s="23" t="str" cm="1">
        <f t="array" ref="H350">IF(B350="","",IF(COUNTIF($B$2:$B$501,B350)&gt;1,"No."&amp;_xlfn.TEXTJOIN(", ",TRUE,IF(($B$2:$B$501=B350)*(ROW($B$2:$B$501)&lt;&gt;ROW(B350)),""&amp;$A$2:$A$501,"")),""))</f>
        <v>No.453</v>
      </c>
      <c r="I350" s="10"/>
    </row>
    <row r="351" spans="1:9" x14ac:dyDescent="0.4">
      <c r="A351" s="3">
        <v>350</v>
      </c>
      <c r="B351" s="3" t="s">
        <v>896</v>
      </c>
      <c r="C351" s="3" t="s">
        <v>969</v>
      </c>
      <c r="D351" s="4" t="s">
        <v>1415</v>
      </c>
      <c r="E351" s="3"/>
      <c r="F351" s="8">
        <v>45737</v>
      </c>
      <c r="G351" s="19" t="str">
        <f>IF('단어 시험장'!E351="❌","❌","")</f>
        <v/>
      </c>
      <c r="H351" s="23" t="str" cm="1">
        <f t="array" ref="H351">IF(B351="","",IF(COUNTIF($B$2:$B$501,B351)&gt;1,"No."&amp;_xlfn.TEXTJOIN(", ",TRUE,IF(($B$2:$B$501=B351)*(ROW($B$2:$B$501)&lt;&gt;ROW(B351)),""&amp;$A$2:$A$501,"")),""))</f>
        <v/>
      </c>
      <c r="I351" s="10"/>
    </row>
    <row r="352" spans="1:9" x14ac:dyDescent="0.4">
      <c r="A352" s="3">
        <v>351</v>
      </c>
      <c r="B352" s="3" t="s">
        <v>897</v>
      </c>
      <c r="C352" s="3" t="s">
        <v>970</v>
      </c>
      <c r="D352" s="4" t="s">
        <v>1416</v>
      </c>
      <c r="E352" s="3"/>
      <c r="F352" s="8">
        <v>45737</v>
      </c>
      <c r="G352" s="19" t="str">
        <f>IF('단어 시험장'!E352="❌","❌","")</f>
        <v/>
      </c>
      <c r="H352" s="23" t="str" cm="1">
        <f t="array" ref="H352">IF(B352="","",IF(COUNTIF($B$2:$B$501,B352)&gt;1,"No."&amp;_xlfn.TEXTJOIN(", ",TRUE,IF(($B$2:$B$501=B352)*(ROW($B$2:$B$501)&lt;&gt;ROW(B352)),""&amp;$A$2:$A$501,"")),""))</f>
        <v>No.375</v>
      </c>
      <c r="I352" s="10"/>
    </row>
    <row r="353" spans="1:9" x14ac:dyDescent="0.4">
      <c r="A353" s="3">
        <v>352</v>
      </c>
      <c r="B353" s="3" t="s">
        <v>898</v>
      </c>
      <c r="C353" s="3" t="s">
        <v>959</v>
      </c>
      <c r="D353" s="4" t="s">
        <v>1417</v>
      </c>
      <c r="E353" s="3"/>
      <c r="F353" s="8">
        <v>45737</v>
      </c>
      <c r="G353" s="19" t="str">
        <f>IF('단어 시험장'!E353="❌","❌","")</f>
        <v/>
      </c>
      <c r="H353" s="23" t="str" cm="1">
        <f t="array" ref="H353">IF(B353="","",IF(COUNTIF($B$2:$B$501,B353)&gt;1,"No."&amp;_xlfn.TEXTJOIN(", ",TRUE,IF(($B$2:$B$501=B353)*(ROW($B$2:$B$501)&lt;&gt;ROW(B353)),""&amp;$A$2:$A$501,"")),""))</f>
        <v/>
      </c>
      <c r="I353" s="10"/>
    </row>
    <row r="354" spans="1:9" x14ac:dyDescent="0.4">
      <c r="A354" s="3">
        <v>353</v>
      </c>
      <c r="B354" s="3" t="s">
        <v>899</v>
      </c>
      <c r="C354" s="3" t="s">
        <v>971</v>
      </c>
      <c r="D354" s="4" t="s">
        <v>1418</v>
      </c>
      <c r="E354" s="3"/>
      <c r="F354" s="8">
        <v>45737</v>
      </c>
      <c r="G354" s="19" t="str">
        <f>IF('단어 시험장'!E354="❌","❌","")</f>
        <v/>
      </c>
      <c r="H354" s="23" t="str" cm="1">
        <f t="array" ref="H354">IF(B354="","",IF(COUNTIF($B$2:$B$501,B354)&gt;1,"No."&amp;_xlfn.TEXTJOIN(", ",TRUE,IF(($B$2:$B$501=B354)*(ROW($B$2:$B$501)&lt;&gt;ROW(B354)),""&amp;$A$2:$A$501,"")),""))</f>
        <v/>
      </c>
      <c r="I354" s="10"/>
    </row>
    <row r="355" spans="1:9" x14ac:dyDescent="0.4">
      <c r="A355" s="3">
        <v>354</v>
      </c>
      <c r="B355" s="3" t="s">
        <v>900</v>
      </c>
      <c r="C355" s="3" t="s">
        <v>972</v>
      </c>
      <c r="D355" s="4" t="s">
        <v>1421</v>
      </c>
      <c r="E355" s="3"/>
      <c r="F355" s="8">
        <v>45737</v>
      </c>
      <c r="G355" s="19" t="str">
        <f>IF('단어 시험장'!E355="❌","❌","")</f>
        <v/>
      </c>
      <c r="H355" s="23" t="str" cm="1">
        <f t="array" ref="H355">IF(B355="","",IF(COUNTIF($B$2:$B$501,B355)&gt;1,"No."&amp;_xlfn.TEXTJOIN(", ",TRUE,IF(($B$2:$B$501=B355)*(ROW($B$2:$B$501)&lt;&gt;ROW(B355)),""&amp;$A$2:$A$501,"")),""))</f>
        <v/>
      </c>
      <c r="I355" s="10"/>
    </row>
    <row r="356" spans="1:9" x14ac:dyDescent="0.4">
      <c r="A356" s="3">
        <v>355</v>
      </c>
      <c r="B356" s="3" t="s">
        <v>901</v>
      </c>
      <c r="C356" s="3" t="s">
        <v>973</v>
      </c>
      <c r="D356" s="4" t="s">
        <v>1422</v>
      </c>
      <c r="E356" s="3"/>
      <c r="F356" s="8">
        <v>45737</v>
      </c>
      <c r="G356" s="19" t="str">
        <f>IF('단어 시험장'!E356="❌","❌","")</f>
        <v/>
      </c>
      <c r="H356" s="23" t="str" cm="1">
        <f t="array" ref="H356">IF(B356="","",IF(COUNTIF($B$2:$B$501,B356)&gt;1,"No."&amp;_xlfn.TEXTJOIN(", ",TRUE,IF(($B$2:$B$501=B356)*(ROW($B$2:$B$501)&lt;&gt;ROW(B356)),""&amp;$A$2:$A$501,"")),""))</f>
        <v/>
      </c>
      <c r="I356" s="10"/>
    </row>
    <row r="357" spans="1:9" x14ac:dyDescent="0.4">
      <c r="A357" s="3">
        <v>356</v>
      </c>
      <c r="B357" s="3" t="s">
        <v>706</v>
      </c>
      <c r="C357" s="3" t="s">
        <v>974</v>
      </c>
      <c r="D357" s="4" t="s">
        <v>1423</v>
      </c>
      <c r="E357" s="3"/>
      <c r="F357" s="8">
        <v>45737</v>
      </c>
      <c r="G357" s="19" t="str">
        <f>IF('단어 시험장'!E357="❌","❌","")</f>
        <v/>
      </c>
      <c r="H357" s="23" t="str" cm="1">
        <f t="array" ref="H357">IF(B357="","",IF(COUNTIF($B$2:$B$501,B357)&gt;1,"No."&amp;_xlfn.TEXTJOIN(", ",TRUE,IF(($B$2:$B$501=B357)*(ROW($B$2:$B$501)&lt;&gt;ROW(B357)),""&amp;$A$2:$A$501,"")),""))</f>
        <v>No.254</v>
      </c>
      <c r="I357" s="10"/>
    </row>
    <row r="358" spans="1:9" x14ac:dyDescent="0.4">
      <c r="A358" s="3">
        <v>357</v>
      </c>
      <c r="B358" s="3" t="s">
        <v>902</v>
      </c>
      <c r="C358" s="3" t="s">
        <v>975</v>
      </c>
      <c r="D358" s="4" t="s">
        <v>1424</v>
      </c>
      <c r="E358" s="3"/>
      <c r="F358" s="8">
        <v>45737</v>
      </c>
      <c r="G358" s="19" t="str">
        <f>IF('단어 시험장'!E358="❌","❌","")</f>
        <v/>
      </c>
      <c r="H358" s="23" t="str" cm="1">
        <f t="array" ref="H358">IF(B358="","",IF(COUNTIF($B$2:$B$501,B358)&gt;1,"No."&amp;_xlfn.TEXTJOIN(", ",TRUE,IF(($B$2:$B$501=B358)*(ROW($B$2:$B$501)&lt;&gt;ROW(B358)),""&amp;$A$2:$A$501,"")),""))</f>
        <v/>
      </c>
      <c r="I358" s="10"/>
    </row>
    <row r="359" spans="1:9" x14ac:dyDescent="0.4">
      <c r="A359" s="3">
        <v>358</v>
      </c>
      <c r="B359" s="3" t="s">
        <v>903</v>
      </c>
      <c r="C359" s="3" t="s">
        <v>976</v>
      </c>
      <c r="D359" s="4" t="s">
        <v>1425</v>
      </c>
      <c r="E359" s="3"/>
      <c r="F359" s="8">
        <v>45737</v>
      </c>
      <c r="G359" s="19" t="str">
        <f>IF('단어 시험장'!E359="❌","❌","")</f>
        <v/>
      </c>
      <c r="H359" s="23" t="str" cm="1">
        <f t="array" ref="H359">IF(B359="","",IF(COUNTIF($B$2:$B$501,B359)&gt;1,"No."&amp;_xlfn.TEXTJOIN(", ",TRUE,IF(($B$2:$B$501=B359)*(ROW($B$2:$B$501)&lt;&gt;ROW(B359)),""&amp;$A$2:$A$501,"")),""))</f>
        <v/>
      </c>
      <c r="I359" s="10"/>
    </row>
    <row r="360" spans="1:9" x14ac:dyDescent="0.4">
      <c r="A360" s="3">
        <v>359</v>
      </c>
      <c r="B360" s="3" t="s">
        <v>1219</v>
      </c>
      <c r="C360" s="3" t="s">
        <v>1220</v>
      </c>
      <c r="D360" s="4" t="s">
        <v>1426</v>
      </c>
      <c r="E360" s="3"/>
      <c r="F360" s="8">
        <v>45745</v>
      </c>
      <c r="G360" s="19" t="str">
        <f>IF('단어 시험장'!E360="❌","❌","")</f>
        <v/>
      </c>
      <c r="H360" s="23" t="str" cm="1">
        <f t="array" ref="H360">IF(B360="","",IF(COUNTIF($B$2:$B$501,B360)&gt;1,"No."&amp;_xlfn.TEXTJOIN(", ",TRUE,IF(($B$2:$B$501=B360)*(ROW($B$2:$B$501)&lt;&gt;ROW(B360)),""&amp;$A$2:$A$501,"")),""))</f>
        <v/>
      </c>
      <c r="I360" s="10" t="s">
        <v>1266</v>
      </c>
    </row>
    <row r="361" spans="1:9" x14ac:dyDescent="0.4">
      <c r="A361" s="3">
        <v>360</v>
      </c>
      <c r="B361" s="3" t="s">
        <v>1221</v>
      </c>
      <c r="C361" s="3" t="s">
        <v>1267</v>
      </c>
      <c r="D361" s="4" t="s">
        <v>1427</v>
      </c>
      <c r="E361" s="3"/>
      <c r="F361" s="8">
        <v>45745</v>
      </c>
      <c r="G361" s="19" t="str">
        <f>IF('단어 시험장'!E361="❌","❌","")</f>
        <v/>
      </c>
      <c r="H361" s="23" t="str" cm="1">
        <f t="array" ref="H361">IF(B361="","",IF(COUNTIF($B$2:$B$501,B361)&gt;1,"No."&amp;_xlfn.TEXTJOIN(", ",TRUE,IF(($B$2:$B$501=B361)*(ROW($B$2:$B$501)&lt;&gt;ROW(B361)),""&amp;$A$2:$A$501,"")),""))</f>
        <v/>
      </c>
      <c r="I361" s="10" t="s">
        <v>1266</v>
      </c>
    </row>
    <row r="362" spans="1:9" x14ac:dyDescent="0.4">
      <c r="A362" s="3">
        <v>361</v>
      </c>
      <c r="B362" s="3" t="s">
        <v>1222</v>
      </c>
      <c r="C362" s="3" t="s">
        <v>1268</v>
      </c>
      <c r="D362" s="4" t="s">
        <v>1428</v>
      </c>
      <c r="E362" s="3"/>
      <c r="F362" s="8">
        <v>45745</v>
      </c>
      <c r="G362" s="19" t="str">
        <f>IF('단어 시험장'!E362="❌","❌","")</f>
        <v/>
      </c>
      <c r="H362" s="23" t="str" cm="1">
        <f t="array" ref="H362">IF(B362="","",IF(COUNTIF($B$2:$B$501,B362)&gt;1,"No."&amp;_xlfn.TEXTJOIN(", ",TRUE,IF(($B$2:$B$501=B362)*(ROW($B$2:$B$501)&lt;&gt;ROW(B362)),""&amp;$A$2:$A$501,"")),""))</f>
        <v/>
      </c>
      <c r="I362" s="10" t="s">
        <v>1266</v>
      </c>
    </row>
    <row r="363" spans="1:9" x14ac:dyDescent="0.4">
      <c r="A363" s="3">
        <v>362</v>
      </c>
      <c r="B363" s="3" t="s">
        <v>1223</v>
      </c>
      <c r="C363" s="3" t="s">
        <v>1269</v>
      </c>
      <c r="D363" s="4" t="s">
        <v>1429</v>
      </c>
      <c r="E363" s="3"/>
      <c r="F363" s="8">
        <v>45745</v>
      </c>
      <c r="G363" s="19" t="str">
        <f>IF('단어 시험장'!E363="❌","❌","")</f>
        <v/>
      </c>
      <c r="H363" s="23" t="str" cm="1">
        <f t="array" ref="H363">IF(B363="","",IF(COUNTIF($B$2:$B$501,B363)&gt;1,"No."&amp;_xlfn.TEXTJOIN(", ",TRUE,IF(($B$2:$B$501=B363)*(ROW($B$2:$B$501)&lt;&gt;ROW(B363)),""&amp;$A$2:$A$501,"")),""))</f>
        <v/>
      </c>
      <c r="I363" s="10" t="s">
        <v>1266</v>
      </c>
    </row>
    <row r="364" spans="1:9" x14ac:dyDescent="0.4">
      <c r="A364" s="3">
        <v>363</v>
      </c>
      <c r="B364" s="3" t="s">
        <v>1224</v>
      </c>
      <c r="C364" s="3" t="s">
        <v>1270</v>
      </c>
      <c r="D364" s="4" t="s">
        <v>1430</v>
      </c>
      <c r="E364" s="3"/>
      <c r="F364" s="8">
        <v>45745</v>
      </c>
      <c r="G364" s="19" t="str">
        <f>IF('단어 시험장'!E364="❌","❌","")</f>
        <v/>
      </c>
      <c r="H364" s="23" t="str" cm="1">
        <f t="array" ref="H364">IF(B364="","",IF(COUNTIF($B$2:$B$501,B364)&gt;1,"No."&amp;_xlfn.TEXTJOIN(", ",TRUE,IF(($B$2:$B$501=B364)*(ROW($B$2:$B$501)&lt;&gt;ROW(B364)),""&amp;$A$2:$A$501,"")),""))</f>
        <v/>
      </c>
      <c r="I364" s="10" t="s">
        <v>1266</v>
      </c>
    </row>
    <row r="365" spans="1:9" x14ac:dyDescent="0.4">
      <c r="A365" s="3">
        <v>364</v>
      </c>
      <c r="B365" s="3" t="s">
        <v>291</v>
      </c>
      <c r="C365" s="3" t="s">
        <v>340</v>
      </c>
      <c r="D365" s="4" t="s">
        <v>1434</v>
      </c>
      <c r="E365" s="3"/>
      <c r="F365" s="8">
        <v>45745</v>
      </c>
      <c r="G365" s="19" t="str">
        <f>IF('단어 시험장'!E365="❌","❌","")</f>
        <v/>
      </c>
      <c r="H365" s="23" t="str" cm="1">
        <f t="array" ref="H365">IF(B365="","",IF(COUNTIF($B$2:$B$501,B365)&gt;1,"No."&amp;_xlfn.TEXTJOIN(", ",TRUE,IF(($B$2:$B$501=B365)*(ROW($B$2:$B$501)&lt;&gt;ROW(B365)),""&amp;$A$2:$A$501,"")),""))</f>
        <v>No.123</v>
      </c>
      <c r="I365" s="10" t="s">
        <v>1266</v>
      </c>
    </row>
    <row r="366" spans="1:9" x14ac:dyDescent="0.4">
      <c r="A366" s="3">
        <v>365</v>
      </c>
      <c r="B366" s="3" t="s">
        <v>1225</v>
      </c>
      <c r="C366" s="3" t="s">
        <v>1271</v>
      </c>
      <c r="D366" s="4" t="s">
        <v>1435</v>
      </c>
      <c r="E366" s="3" t="s">
        <v>1462</v>
      </c>
      <c r="F366" s="8">
        <v>45745</v>
      </c>
      <c r="G366" s="19" t="str">
        <f>IF('단어 시험장'!E366="❌","❌","")</f>
        <v/>
      </c>
      <c r="H366" s="23" t="str" cm="1">
        <f t="array" ref="H366">IF(B366="","",IF(COUNTIF($B$2:$B$501,B366)&gt;1,"No."&amp;_xlfn.TEXTJOIN(", ",TRUE,IF(($B$2:$B$501=B366)*(ROW($B$2:$B$501)&lt;&gt;ROW(B366)),""&amp;$A$2:$A$501,"")),""))</f>
        <v/>
      </c>
      <c r="I366" s="10" t="s">
        <v>1266</v>
      </c>
    </row>
    <row r="367" spans="1:9" x14ac:dyDescent="0.4">
      <c r="A367" s="3">
        <v>366</v>
      </c>
      <c r="B367" s="3" t="s">
        <v>1226</v>
      </c>
      <c r="C367" s="3" t="s">
        <v>1274</v>
      </c>
      <c r="D367" s="4" t="s">
        <v>1436</v>
      </c>
      <c r="E367" s="3"/>
      <c r="F367" s="8">
        <v>45745</v>
      </c>
      <c r="G367" s="19" t="str">
        <f>IF('단어 시험장'!E367="❌","❌","")</f>
        <v/>
      </c>
      <c r="H367" s="23" t="str" cm="1">
        <f t="array" ref="H367">IF(B367="","",IF(COUNTIF($B$2:$B$501,B367)&gt;1,"No."&amp;_xlfn.TEXTJOIN(", ",TRUE,IF(($B$2:$B$501=B367)*(ROW($B$2:$B$501)&lt;&gt;ROW(B367)),""&amp;$A$2:$A$501,"")),""))</f>
        <v/>
      </c>
      <c r="I367" s="10" t="s">
        <v>1266</v>
      </c>
    </row>
    <row r="368" spans="1:9" x14ac:dyDescent="0.4">
      <c r="A368" s="3">
        <v>367</v>
      </c>
      <c r="B368" s="3" t="s">
        <v>1227</v>
      </c>
      <c r="C368" s="3" t="s">
        <v>1275</v>
      </c>
      <c r="D368" s="4" t="s">
        <v>1437</v>
      </c>
      <c r="E368" s="3"/>
      <c r="F368" s="8">
        <v>45745</v>
      </c>
      <c r="G368" s="19" t="str">
        <f>IF('단어 시험장'!E368="❌","❌","")</f>
        <v/>
      </c>
      <c r="H368" s="23" t="str" cm="1">
        <f t="array" ref="H368">IF(B368="","",IF(COUNTIF($B$2:$B$501,B368)&gt;1,"No."&amp;_xlfn.TEXTJOIN(", ",TRUE,IF(($B$2:$B$501=B368)*(ROW($B$2:$B$501)&lt;&gt;ROW(B368)),""&amp;$A$2:$A$501,"")),""))</f>
        <v/>
      </c>
      <c r="I368" s="10" t="s">
        <v>1266</v>
      </c>
    </row>
    <row r="369" spans="1:9" x14ac:dyDescent="0.4">
      <c r="A369" s="3">
        <v>368</v>
      </c>
      <c r="B369" s="3" t="s">
        <v>1228</v>
      </c>
      <c r="C369" s="3" t="s">
        <v>1276</v>
      </c>
      <c r="D369" s="4" t="s">
        <v>1438</v>
      </c>
      <c r="E369" s="3"/>
      <c r="F369" s="8">
        <v>45745</v>
      </c>
      <c r="G369" s="19" t="str">
        <f>IF('단어 시험장'!E369="❌","❌","")</f>
        <v/>
      </c>
      <c r="H369" s="23" t="str" cm="1">
        <f t="array" ref="H369">IF(B369="","",IF(COUNTIF($B$2:$B$501,B369)&gt;1,"No."&amp;_xlfn.TEXTJOIN(", ",TRUE,IF(($B$2:$B$501=B369)*(ROW($B$2:$B$501)&lt;&gt;ROW(B369)),""&amp;$A$2:$A$501,"")),""))</f>
        <v/>
      </c>
      <c r="I369" s="10" t="s">
        <v>1266</v>
      </c>
    </row>
    <row r="370" spans="1:9" x14ac:dyDescent="0.4">
      <c r="A370" s="3">
        <v>369</v>
      </c>
      <c r="B370" s="3" t="s">
        <v>1229</v>
      </c>
      <c r="C370" s="3" t="s">
        <v>1277</v>
      </c>
      <c r="D370" s="4" t="s">
        <v>1439</v>
      </c>
      <c r="E370" s="3"/>
      <c r="F370" s="8">
        <v>45745</v>
      </c>
      <c r="G370" s="19" t="str">
        <f>IF('단어 시험장'!E370="❌","❌","")</f>
        <v/>
      </c>
      <c r="H370" s="23" t="str" cm="1">
        <f t="array" ref="H370">IF(B370="","",IF(COUNTIF($B$2:$B$501,B370)&gt;1,"No."&amp;_xlfn.TEXTJOIN(", ",TRUE,IF(($B$2:$B$501=B370)*(ROW($B$2:$B$501)&lt;&gt;ROW(B370)),""&amp;$A$2:$A$501,"")),""))</f>
        <v/>
      </c>
      <c r="I370" s="10" t="s">
        <v>1266</v>
      </c>
    </row>
    <row r="371" spans="1:9" x14ac:dyDescent="0.4">
      <c r="A371" s="3">
        <v>370</v>
      </c>
      <c r="B371" s="3" t="s">
        <v>1230</v>
      </c>
      <c r="C371" s="3" t="s">
        <v>1278</v>
      </c>
      <c r="D371" s="4" t="s">
        <v>1440</v>
      </c>
      <c r="E371" s="3"/>
      <c r="F371" s="8">
        <v>45745</v>
      </c>
      <c r="G371" s="19" t="str">
        <f>IF('단어 시험장'!E371="❌","❌","")</f>
        <v/>
      </c>
      <c r="H371" s="23" t="str" cm="1">
        <f t="array" ref="H371">IF(B371="","",IF(COUNTIF($B$2:$B$501,B371)&gt;1,"No."&amp;_xlfn.TEXTJOIN(", ",TRUE,IF(($B$2:$B$501=B371)*(ROW($B$2:$B$501)&lt;&gt;ROW(B371)),""&amp;$A$2:$A$501,"")),""))</f>
        <v/>
      </c>
      <c r="I371" s="10" t="s">
        <v>1266</v>
      </c>
    </row>
    <row r="372" spans="1:9" x14ac:dyDescent="0.4">
      <c r="A372" s="3">
        <v>371</v>
      </c>
      <c r="B372" s="3" t="s">
        <v>1231</v>
      </c>
      <c r="C372" s="3" t="s">
        <v>1279</v>
      </c>
      <c r="D372" s="4" t="s">
        <v>1443</v>
      </c>
      <c r="E372" s="3"/>
      <c r="F372" s="8">
        <v>45745</v>
      </c>
      <c r="G372" s="19" t="str">
        <f>IF('단어 시험장'!E372="❌","❌","")</f>
        <v/>
      </c>
      <c r="H372" s="23" t="str" cm="1">
        <f t="array" ref="H372">IF(B372="","",IF(COUNTIF($B$2:$B$501,B372)&gt;1,"No."&amp;_xlfn.TEXTJOIN(", ",TRUE,IF(($B$2:$B$501=B372)*(ROW($B$2:$B$501)&lt;&gt;ROW(B372)),""&amp;$A$2:$A$501,"")),""))</f>
        <v/>
      </c>
      <c r="I372" s="10" t="s">
        <v>1266</v>
      </c>
    </row>
    <row r="373" spans="1:9" x14ac:dyDescent="0.4">
      <c r="A373" s="3">
        <v>372</v>
      </c>
      <c r="B373" s="3" t="s">
        <v>1232</v>
      </c>
      <c r="C373" s="3" t="s">
        <v>1282</v>
      </c>
      <c r="D373" s="4" t="s">
        <v>1444</v>
      </c>
      <c r="E373" s="3"/>
      <c r="F373" s="8">
        <v>45745</v>
      </c>
      <c r="G373" s="19" t="str">
        <f>IF('단어 시험장'!E373="❌","❌","")</f>
        <v/>
      </c>
      <c r="H373" s="23" t="str" cm="1">
        <f t="array" ref="H373">IF(B373="","",IF(COUNTIF($B$2:$B$501,B373)&gt;1,"No."&amp;_xlfn.TEXTJOIN(", ",TRUE,IF(($B$2:$B$501=B373)*(ROW($B$2:$B$501)&lt;&gt;ROW(B373)),""&amp;$A$2:$A$501,"")),""))</f>
        <v/>
      </c>
      <c r="I373" s="10" t="s">
        <v>1266</v>
      </c>
    </row>
    <row r="374" spans="1:9" x14ac:dyDescent="0.4">
      <c r="A374" s="3">
        <v>373</v>
      </c>
      <c r="B374" s="3" t="s">
        <v>1233</v>
      </c>
      <c r="C374" s="3" t="s">
        <v>1283</v>
      </c>
      <c r="D374" s="4" t="s">
        <v>1445</v>
      </c>
      <c r="E374" s="3"/>
      <c r="F374" s="8">
        <v>45745</v>
      </c>
      <c r="G374" s="19" t="str">
        <f>IF('단어 시험장'!E374="❌","❌","")</f>
        <v/>
      </c>
      <c r="H374" s="23" t="str" cm="1">
        <f t="array" ref="H374">IF(B374="","",IF(COUNTIF($B$2:$B$501,B374)&gt;1,"No."&amp;_xlfn.TEXTJOIN(", ",TRUE,IF(($B$2:$B$501=B374)*(ROW($B$2:$B$501)&lt;&gt;ROW(B374)),""&amp;$A$2:$A$501,"")),""))</f>
        <v/>
      </c>
      <c r="I374" s="10" t="s">
        <v>1266</v>
      </c>
    </row>
    <row r="375" spans="1:9" x14ac:dyDescent="0.4">
      <c r="A375" s="3">
        <v>374</v>
      </c>
      <c r="B375" s="3" t="s">
        <v>1234</v>
      </c>
      <c r="C375" s="3" t="s">
        <v>1284</v>
      </c>
      <c r="D375" s="4" t="s">
        <v>1446</v>
      </c>
      <c r="E375" s="3"/>
      <c r="F375" s="8">
        <v>45745</v>
      </c>
      <c r="G375" s="19" t="str">
        <f>IF('단어 시험장'!E375="❌","❌","")</f>
        <v/>
      </c>
      <c r="H375" s="23" t="str" cm="1">
        <f t="array" ref="H375">IF(B375="","",IF(COUNTIF($B$2:$B$501,B375)&gt;1,"No."&amp;_xlfn.TEXTJOIN(", ",TRUE,IF(($B$2:$B$501=B375)*(ROW($B$2:$B$501)&lt;&gt;ROW(B375)),""&amp;$A$2:$A$501,"")),""))</f>
        <v/>
      </c>
      <c r="I375" s="10" t="s">
        <v>1266</v>
      </c>
    </row>
    <row r="376" spans="1:9" x14ac:dyDescent="0.4">
      <c r="A376" s="3">
        <v>375</v>
      </c>
      <c r="B376" s="3" t="s">
        <v>897</v>
      </c>
      <c r="C376" s="3" t="s">
        <v>1285</v>
      </c>
      <c r="D376" s="4" t="s">
        <v>1449</v>
      </c>
      <c r="E376" s="3"/>
      <c r="F376" s="8">
        <v>45745</v>
      </c>
      <c r="G376" s="19" t="str">
        <f>IF('단어 시험장'!E376="❌","❌","")</f>
        <v/>
      </c>
      <c r="H376" s="23" t="str" cm="1">
        <f t="array" ref="H376">IF(B376="","",IF(COUNTIF($B$2:$B$501,B376)&gt;1,"No."&amp;_xlfn.TEXTJOIN(", ",TRUE,IF(($B$2:$B$501=B376)*(ROW($B$2:$B$501)&lt;&gt;ROW(B376)),""&amp;$A$2:$A$501,"")),""))</f>
        <v>No.351</v>
      </c>
      <c r="I376" s="10" t="s">
        <v>1266</v>
      </c>
    </row>
    <row r="377" spans="1:9" x14ac:dyDescent="0.4">
      <c r="A377" s="3">
        <v>376</v>
      </c>
      <c r="B377" s="3" t="s">
        <v>1235</v>
      </c>
      <c r="C377" s="3" t="s">
        <v>1287</v>
      </c>
      <c r="D377" s="4" t="s">
        <v>1450</v>
      </c>
      <c r="E377" s="3"/>
      <c r="F377" s="8">
        <v>45745</v>
      </c>
      <c r="G377" s="19" t="str">
        <f>IF('단어 시험장'!E377="❌","❌","")</f>
        <v/>
      </c>
      <c r="H377" s="23" t="str" cm="1">
        <f t="array" ref="H377">IF(B377="","",IF(COUNTIF($B$2:$B$501,B377)&gt;1,"No."&amp;_xlfn.TEXTJOIN(", ",TRUE,IF(($B$2:$B$501=B377)*(ROW($B$2:$B$501)&lt;&gt;ROW(B377)),""&amp;$A$2:$A$501,"")),""))</f>
        <v/>
      </c>
      <c r="I377" s="10" t="s">
        <v>1266</v>
      </c>
    </row>
    <row r="378" spans="1:9" x14ac:dyDescent="0.4">
      <c r="A378" s="3">
        <v>377</v>
      </c>
      <c r="B378" s="3" t="s">
        <v>1236</v>
      </c>
      <c r="C378" s="3" t="s">
        <v>1288</v>
      </c>
      <c r="D378" s="4" t="s">
        <v>1451</v>
      </c>
      <c r="E378" s="3"/>
      <c r="F378" s="8">
        <v>45745</v>
      </c>
      <c r="G378" s="19" t="str">
        <f>IF('단어 시험장'!E378="❌","❌","")</f>
        <v/>
      </c>
      <c r="H378" s="23" t="str" cm="1">
        <f t="array" ref="H378">IF(B378="","",IF(COUNTIF($B$2:$B$501,B378)&gt;1,"No."&amp;_xlfn.TEXTJOIN(", ",TRUE,IF(($B$2:$B$501=B378)*(ROW($B$2:$B$501)&lt;&gt;ROW(B378)),""&amp;$A$2:$A$501,"")),""))</f>
        <v/>
      </c>
      <c r="I378" s="10" t="s">
        <v>1266</v>
      </c>
    </row>
    <row r="379" spans="1:9" x14ac:dyDescent="0.4">
      <c r="A379" s="3">
        <v>378</v>
      </c>
      <c r="B379" s="3" t="s">
        <v>1237</v>
      </c>
      <c r="C379" s="3" t="s">
        <v>1288</v>
      </c>
      <c r="D379" s="4" t="s">
        <v>1454</v>
      </c>
      <c r="E379" s="3"/>
      <c r="F379" s="8">
        <v>45745</v>
      </c>
      <c r="G379" s="19" t="str">
        <f>IF('단어 시험장'!E379="❌","❌","")</f>
        <v/>
      </c>
      <c r="H379" s="23" t="str" cm="1">
        <f t="array" ref="H379">IF(B379="","",IF(COUNTIF($B$2:$B$501,B379)&gt;1,"No."&amp;_xlfn.TEXTJOIN(", ",TRUE,IF(($B$2:$B$501=B379)*(ROW($B$2:$B$501)&lt;&gt;ROW(B379)),""&amp;$A$2:$A$501,"")),""))</f>
        <v/>
      </c>
      <c r="I379" s="10" t="s">
        <v>1266</v>
      </c>
    </row>
    <row r="380" spans="1:9" x14ac:dyDescent="0.4">
      <c r="A380" s="3">
        <v>379</v>
      </c>
      <c r="B380" s="3" t="s">
        <v>1238</v>
      </c>
      <c r="C380" s="3" t="s">
        <v>1289</v>
      </c>
      <c r="D380" s="4" t="s">
        <v>1455</v>
      </c>
      <c r="E380" s="3"/>
      <c r="F380" s="8">
        <v>45745</v>
      </c>
      <c r="G380" s="19" t="str">
        <f>IF('단어 시험장'!E380="❌","❌","")</f>
        <v/>
      </c>
      <c r="H380" s="23" t="str" cm="1">
        <f t="array" ref="H380">IF(B380="","",IF(COUNTIF($B$2:$B$501,B380)&gt;1,"No."&amp;_xlfn.TEXTJOIN(", ",TRUE,IF(($B$2:$B$501=B380)*(ROW($B$2:$B$501)&lt;&gt;ROW(B380)),""&amp;$A$2:$A$501,"")),""))</f>
        <v/>
      </c>
      <c r="I380" s="10" t="s">
        <v>1266</v>
      </c>
    </row>
    <row r="381" spans="1:9" x14ac:dyDescent="0.4">
      <c r="A381" s="3">
        <v>380</v>
      </c>
      <c r="B381" s="3" t="s">
        <v>1239</v>
      </c>
      <c r="C381" s="3" t="s">
        <v>1290</v>
      </c>
      <c r="D381" s="4" t="s">
        <v>1456</v>
      </c>
      <c r="E381" s="3"/>
      <c r="F381" s="8">
        <v>45745</v>
      </c>
      <c r="G381" s="19" t="str">
        <f>IF('단어 시험장'!E381="❌","❌","")</f>
        <v/>
      </c>
      <c r="H381" s="23" t="str" cm="1">
        <f t="array" ref="H381">IF(B381="","",IF(COUNTIF($B$2:$B$501,B381)&gt;1,"No."&amp;_xlfn.TEXTJOIN(", ",TRUE,IF(($B$2:$B$501=B381)*(ROW($B$2:$B$501)&lt;&gt;ROW(B381)),""&amp;$A$2:$A$501,"")),""))</f>
        <v/>
      </c>
      <c r="I381" s="10" t="s">
        <v>1266</v>
      </c>
    </row>
    <row r="382" spans="1:9" x14ac:dyDescent="0.4">
      <c r="A382" s="3">
        <v>381</v>
      </c>
      <c r="B382" s="3" t="s">
        <v>1240</v>
      </c>
      <c r="C382" s="3" t="s">
        <v>1291</v>
      </c>
      <c r="D382" s="4" t="s">
        <v>1457</v>
      </c>
      <c r="E382" s="3"/>
      <c r="F382" s="8">
        <v>45745</v>
      </c>
      <c r="G382" s="19" t="str">
        <f>IF('단어 시험장'!E382="❌","❌","")</f>
        <v/>
      </c>
      <c r="H382" s="23" t="str" cm="1">
        <f t="array" ref="H382">IF(B382="","",IF(COUNTIF($B$2:$B$501,B382)&gt;1,"No."&amp;_xlfn.TEXTJOIN(", ",TRUE,IF(($B$2:$B$501=B382)*(ROW($B$2:$B$501)&lt;&gt;ROW(B382)),""&amp;$A$2:$A$501,"")),""))</f>
        <v/>
      </c>
      <c r="I382" s="10" t="s">
        <v>1266</v>
      </c>
    </row>
    <row r="383" spans="1:9" x14ac:dyDescent="0.4">
      <c r="A383" s="3">
        <v>382</v>
      </c>
      <c r="B383" s="3" t="s">
        <v>204</v>
      </c>
      <c r="C383" s="3" t="s">
        <v>257</v>
      </c>
      <c r="D383" s="4" t="s">
        <v>1458</v>
      </c>
      <c r="E383" s="3"/>
      <c r="F383" s="8">
        <v>45745</v>
      </c>
      <c r="G383" s="19" t="str">
        <f>IF('단어 시험장'!E383="❌","❌","")</f>
        <v/>
      </c>
      <c r="H383" s="23" t="str" cm="1">
        <f t="array" ref="H383">IF(B383="","",IF(COUNTIF($B$2:$B$501,B383)&gt;1,"No."&amp;_xlfn.TEXTJOIN(", ",TRUE,IF(($B$2:$B$501=B383)*(ROW($B$2:$B$501)&lt;&gt;ROW(B383)),""&amp;$A$2:$A$501,"")),""))</f>
        <v>No.87</v>
      </c>
      <c r="I383" s="10" t="s">
        <v>1266</v>
      </c>
    </row>
    <row r="384" spans="1:9" x14ac:dyDescent="0.4">
      <c r="A384" s="3">
        <v>383</v>
      </c>
      <c r="B384" s="3" t="s">
        <v>1241</v>
      </c>
      <c r="C384" s="3" t="s">
        <v>1292</v>
      </c>
      <c r="D384" s="4" t="s">
        <v>1459</v>
      </c>
      <c r="E384" s="3"/>
      <c r="F384" s="8">
        <v>45745</v>
      </c>
      <c r="G384" s="19" t="str">
        <f>IF('단어 시험장'!E384="❌","❌","")</f>
        <v/>
      </c>
      <c r="H384" s="23" t="str" cm="1">
        <f t="array" ref="H384">IF(B384="","",IF(COUNTIF($B$2:$B$501,B384)&gt;1,"No."&amp;_xlfn.TEXTJOIN(", ",TRUE,IF(($B$2:$B$501=B384)*(ROW($B$2:$B$501)&lt;&gt;ROW(B384)),""&amp;$A$2:$A$501,"")),""))</f>
        <v/>
      </c>
      <c r="I384" s="10" t="s">
        <v>1266</v>
      </c>
    </row>
    <row r="385" spans="1:9" x14ac:dyDescent="0.4">
      <c r="A385" s="3">
        <v>384</v>
      </c>
      <c r="B385" s="3" t="s">
        <v>1242</v>
      </c>
      <c r="C385" s="3" t="s">
        <v>1293</v>
      </c>
      <c r="D385" s="4" t="s">
        <v>1460</v>
      </c>
      <c r="E385" s="3"/>
      <c r="F385" s="8">
        <v>45745</v>
      </c>
      <c r="G385" s="19" t="str">
        <f>IF('단어 시험장'!E385="❌","❌","")</f>
        <v/>
      </c>
      <c r="H385" s="23" t="str" cm="1">
        <f t="array" ref="H385">IF(B385="","",IF(COUNTIF($B$2:$B$501,B385)&gt;1,"No."&amp;_xlfn.TEXTJOIN(", ",TRUE,IF(($B$2:$B$501=B385)*(ROW($B$2:$B$501)&lt;&gt;ROW(B385)),""&amp;$A$2:$A$501,"")),""))</f>
        <v/>
      </c>
      <c r="I385" s="10" t="s">
        <v>1266</v>
      </c>
    </row>
    <row r="386" spans="1:9" x14ac:dyDescent="0.4">
      <c r="A386" s="3">
        <v>385</v>
      </c>
      <c r="B386" s="3" t="s">
        <v>1243</v>
      </c>
      <c r="C386" s="3" t="s">
        <v>1294</v>
      </c>
      <c r="D386" s="4" t="s">
        <v>1461</v>
      </c>
      <c r="E386" s="3" t="s">
        <v>1462</v>
      </c>
      <c r="F386" s="8">
        <v>45745</v>
      </c>
      <c r="G386" s="19" t="str">
        <f>IF('단어 시험장'!E386="❌","❌","")</f>
        <v/>
      </c>
      <c r="H386" s="23" t="str" cm="1">
        <f t="array" ref="H386">IF(B386="","",IF(COUNTIF($B$2:$B$501,B386)&gt;1,"No."&amp;_xlfn.TEXTJOIN(", ",TRUE,IF(($B$2:$B$501=B386)*(ROW($B$2:$B$501)&lt;&gt;ROW(B386)),""&amp;$A$2:$A$501,"")),""))</f>
        <v/>
      </c>
      <c r="I386" s="10" t="s">
        <v>1266</v>
      </c>
    </row>
    <row r="387" spans="1:9" x14ac:dyDescent="0.4">
      <c r="A387" s="3">
        <v>386</v>
      </c>
      <c r="B387" s="3" t="s">
        <v>1244</v>
      </c>
      <c r="C387" s="3" t="s">
        <v>1295</v>
      </c>
      <c r="D387" s="4" t="s">
        <v>1463</v>
      </c>
      <c r="E387" s="3"/>
      <c r="F387" s="8">
        <v>45745</v>
      </c>
      <c r="G387" s="19" t="str">
        <f>IF('단어 시험장'!E387="❌","❌","")</f>
        <v/>
      </c>
      <c r="H387" s="23" t="str" cm="1">
        <f t="array" ref="H387">IF(B387="","",IF(COUNTIF($B$2:$B$501,B387)&gt;1,"No."&amp;_xlfn.TEXTJOIN(", ",TRUE,IF(($B$2:$B$501=B387)*(ROW($B$2:$B$501)&lt;&gt;ROW(B387)),""&amp;$A$2:$A$501,"")),""))</f>
        <v/>
      </c>
      <c r="I387" s="10" t="s">
        <v>1266</v>
      </c>
    </row>
    <row r="388" spans="1:9" x14ac:dyDescent="0.4">
      <c r="A388" s="3">
        <v>387</v>
      </c>
      <c r="B388" s="3" t="s">
        <v>1245</v>
      </c>
      <c r="C388" s="3" t="s">
        <v>1296</v>
      </c>
      <c r="D388" s="4" t="s">
        <v>1466</v>
      </c>
      <c r="E388" s="3"/>
      <c r="F388" s="8">
        <v>45745</v>
      </c>
      <c r="G388" s="19" t="str">
        <f>IF('단어 시험장'!E388="❌","❌","")</f>
        <v/>
      </c>
      <c r="H388" s="23" t="str" cm="1">
        <f t="array" ref="H388">IF(B388="","",IF(COUNTIF($B$2:$B$501,B388)&gt;1,"No."&amp;_xlfn.TEXTJOIN(", ",TRUE,IF(($B$2:$B$501=B388)*(ROW($B$2:$B$501)&lt;&gt;ROW(B388)),""&amp;$A$2:$A$501,"")),""))</f>
        <v/>
      </c>
      <c r="I388" s="10" t="s">
        <v>1266</v>
      </c>
    </row>
    <row r="389" spans="1:9" x14ac:dyDescent="0.4">
      <c r="A389" s="3">
        <v>388</v>
      </c>
      <c r="B389" s="3" t="s">
        <v>1246</v>
      </c>
      <c r="C389" s="3" t="s">
        <v>1297</v>
      </c>
      <c r="D389" s="4" t="s">
        <v>1467</v>
      </c>
      <c r="E389" s="3"/>
      <c r="F389" s="8">
        <v>45745</v>
      </c>
      <c r="G389" s="19" t="str">
        <f>IF('단어 시험장'!E389="❌","❌","")</f>
        <v/>
      </c>
      <c r="H389" s="23" t="str" cm="1">
        <f t="array" ref="H389">IF(B389="","",IF(COUNTIF($B$2:$B$501,B389)&gt;1,"No."&amp;_xlfn.TEXTJOIN(", ",TRUE,IF(($B$2:$B$501=B389)*(ROW($B$2:$B$501)&lt;&gt;ROW(B389)),""&amp;$A$2:$A$501,"")),""))</f>
        <v/>
      </c>
      <c r="I389" s="10" t="s">
        <v>1266</v>
      </c>
    </row>
    <row r="390" spans="1:9" x14ac:dyDescent="0.4">
      <c r="A390" s="3">
        <v>389</v>
      </c>
      <c r="B390" s="3" t="s">
        <v>1247</v>
      </c>
      <c r="C390" s="3" t="s">
        <v>1298</v>
      </c>
      <c r="D390" s="4" t="s">
        <v>1468</v>
      </c>
      <c r="E390" s="3"/>
      <c r="F390" s="8">
        <v>45745</v>
      </c>
      <c r="G390" s="19" t="str">
        <f>IF('단어 시험장'!E390="❌","❌","")</f>
        <v/>
      </c>
      <c r="H390" s="23" t="str" cm="1">
        <f t="array" ref="H390">IF(B390="","",IF(COUNTIF($B$2:$B$501,B390)&gt;1,"No."&amp;_xlfn.TEXTJOIN(", ",TRUE,IF(($B$2:$B$501=B390)*(ROW($B$2:$B$501)&lt;&gt;ROW(B390)),""&amp;$A$2:$A$501,"")),""))</f>
        <v/>
      </c>
      <c r="I390" s="10" t="s">
        <v>1266</v>
      </c>
    </row>
    <row r="391" spans="1:9" x14ac:dyDescent="0.4">
      <c r="A391" s="3">
        <v>390</v>
      </c>
      <c r="B391" s="3" t="s">
        <v>1248</v>
      </c>
      <c r="C391" s="3" t="s">
        <v>1299</v>
      </c>
      <c r="D391" s="4" t="s">
        <v>1469</v>
      </c>
      <c r="E391" s="3"/>
      <c r="F391" s="8">
        <v>45745</v>
      </c>
      <c r="G391" s="19" t="str">
        <f>IF('단어 시험장'!E391="❌","❌","")</f>
        <v/>
      </c>
      <c r="H391" s="23" t="str" cm="1">
        <f t="array" ref="H391">IF(B391="","",IF(COUNTIF($B$2:$B$501,B391)&gt;1,"No."&amp;_xlfn.TEXTJOIN(", ",TRUE,IF(($B$2:$B$501=B391)*(ROW($B$2:$B$501)&lt;&gt;ROW(B391)),""&amp;$A$2:$A$501,"")),""))</f>
        <v/>
      </c>
      <c r="I391" s="10" t="s">
        <v>1266</v>
      </c>
    </row>
    <row r="392" spans="1:9" x14ac:dyDescent="0.4">
      <c r="A392" s="3">
        <v>391</v>
      </c>
      <c r="B392" s="3" t="s">
        <v>1249</v>
      </c>
      <c r="C392" s="3" t="s">
        <v>1300</v>
      </c>
      <c r="D392" s="4" t="s">
        <v>1470</v>
      </c>
      <c r="E392" s="3"/>
      <c r="F392" s="8">
        <v>45745</v>
      </c>
      <c r="G392" s="19" t="str">
        <f>IF('단어 시험장'!E392="❌","❌","")</f>
        <v/>
      </c>
      <c r="H392" s="23" t="str" cm="1">
        <f t="array" ref="H392">IF(B392="","",IF(COUNTIF($B$2:$B$501,B392)&gt;1,"No."&amp;_xlfn.TEXTJOIN(", ",TRUE,IF(($B$2:$B$501=B392)*(ROW($B$2:$B$501)&lt;&gt;ROW(B392)),""&amp;$A$2:$A$501,"")),""))</f>
        <v/>
      </c>
      <c r="I392" s="10" t="s">
        <v>1266</v>
      </c>
    </row>
    <row r="393" spans="1:9" x14ac:dyDescent="0.4">
      <c r="A393" s="3">
        <v>392</v>
      </c>
      <c r="B393" s="3" t="s">
        <v>1250</v>
      </c>
      <c r="C393" s="3" t="s">
        <v>1301</v>
      </c>
      <c r="D393" s="4" t="s">
        <v>1471</v>
      </c>
      <c r="E393" s="3"/>
      <c r="F393" s="8">
        <v>45745</v>
      </c>
      <c r="G393" s="19" t="str">
        <f>IF('단어 시험장'!E393="❌","❌","")</f>
        <v/>
      </c>
      <c r="H393" s="23" t="str" cm="1">
        <f t="array" ref="H393">IF(B393="","",IF(COUNTIF($B$2:$B$501,B393)&gt;1,"No."&amp;_xlfn.TEXTJOIN(", ",TRUE,IF(($B$2:$B$501=B393)*(ROW($B$2:$B$501)&lt;&gt;ROW(B393)),""&amp;$A$2:$A$501,"")),""))</f>
        <v/>
      </c>
      <c r="I393" s="10" t="s">
        <v>1266</v>
      </c>
    </row>
    <row r="394" spans="1:9" x14ac:dyDescent="0.4">
      <c r="A394" s="3">
        <v>393</v>
      </c>
      <c r="B394" s="3" t="s">
        <v>1251</v>
      </c>
      <c r="C394" s="3" t="s">
        <v>1302</v>
      </c>
      <c r="D394" s="4" t="s">
        <v>1476</v>
      </c>
      <c r="E394" s="3"/>
      <c r="F394" s="8">
        <v>45745</v>
      </c>
      <c r="G394" s="19" t="str">
        <f>IF('단어 시험장'!E394="❌","❌","")</f>
        <v/>
      </c>
      <c r="H394" s="23" t="str" cm="1">
        <f t="array" ref="H394">IF(B394="","",IF(COUNTIF($B$2:$B$501,B394)&gt;1,"No."&amp;_xlfn.TEXTJOIN(", ",TRUE,IF(($B$2:$B$501=B394)*(ROW($B$2:$B$501)&lt;&gt;ROW(B394)),""&amp;$A$2:$A$501,"")),""))</f>
        <v/>
      </c>
      <c r="I394" s="10" t="s">
        <v>1266</v>
      </c>
    </row>
    <row r="395" spans="1:9" x14ac:dyDescent="0.4">
      <c r="A395" s="3">
        <v>394</v>
      </c>
      <c r="B395" s="3" t="s">
        <v>428</v>
      </c>
      <c r="C395" s="3" t="s">
        <v>1303</v>
      </c>
      <c r="D395" s="4" t="s">
        <v>1479</v>
      </c>
      <c r="E395" s="3"/>
      <c r="F395" s="8">
        <v>45745</v>
      </c>
      <c r="G395" s="19" t="str">
        <f>IF('단어 시험장'!E395="❌","❌","")</f>
        <v/>
      </c>
      <c r="H395" s="23" t="str" cm="1">
        <f t="array" ref="H395">IF(B395="","",IF(COUNTIF($B$2:$B$501,B395)&gt;1,"No."&amp;_xlfn.TEXTJOIN(", ",TRUE,IF(($B$2:$B$501=B395)*(ROW($B$2:$B$501)&lt;&gt;ROW(B395)),""&amp;$A$2:$A$501,"")),""))</f>
        <v>No.211</v>
      </c>
      <c r="I395" s="10" t="s">
        <v>1266</v>
      </c>
    </row>
    <row r="396" spans="1:9" x14ac:dyDescent="0.4">
      <c r="A396" s="3">
        <v>395</v>
      </c>
      <c r="B396" s="3" t="s">
        <v>1252</v>
      </c>
      <c r="C396" s="3" t="s">
        <v>1303</v>
      </c>
      <c r="D396" s="4" t="s">
        <v>1482</v>
      </c>
      <c r="E396" s="3"/>
      <c r="F396" s="8">
        <v>45745</v>
      </c>
      <c r="G396" s="19" t="str">
        <f>IF('단어 시험장'!E396="❌","❌","")</f>
        <v/>
      </c>
      <c r="H396" s="23" t="str" cm="1">
        <f t="array" ref="H396">IF(B396="","",IF(COUNTIF($B$2:$B$501,B396)&gt;1,"No."&amp;_xlfn.TEXTJOIN(", ",TRUE,IF(($B$2:$B$501=B396)*(ROW($B$2:$B$501)&lt;&gt;ROW(B396)),""&amp;$A$2:$A$501,"")),""))</f>
        <v/>
      </c>
      <c r="I396" s="10" t="s">
        <v>1266</v>
      </c>
    </row>
    <row r="397" spans="1:9" x14ac:dyDescent="0.4">
      <c r="A397" s="3">
        <v>396</v>
      </c>
      <c r="B397" s="3" t="s">
        <v>1253</v>
      </c>
      <c r="C397" s="3" t="s">
        <v>1304</v>
      </c>
      <c r="D397" s="4" t="s">
        <v>1483</v>
      </c>
      <c r="E397" s="3"/>
      <c r="F397" s="8">
        <v>45745</v>
      </c>
      <c r="G397" s="19" t="str">
        <f>IF('단어 시험장'!E397="❌","❌","")</f>
        <v/>
      </c>
      <c r="H397" s="23" t="str" cm="1">
        <f t="array" ref="H397">IF(B397="","",IF(COUNTIF($B$2:$B$501,B397)&gt;1,"No."&amp;_xlfn.TEXTJOIN(", ",TRUE,IF(($B$2:$B$501=B397)*(ROW($B$2:$B$501)&lt;&gt;ROW(B397)),""&amp;$A$2:$A$501,"")),""))</f>
        <v/>
      </c>
      <c r="I397" s="10" t="s">
        <v>1266</v>
      </c>
    </row>
    <row r="398" spans="1:9" x14ac:dyDescent="0.4">
      <c r="A398" s="3">
        <v>397</v>
      </c>
      <c r="B398" s="3" t="s">
        <v>1254</v>
      </c>
      <c r="C398" s="3" t="s">
        <v>1305</v>
      </c>
      <c r="D398" s="4" t="s">
        <v>1484</v>
      </c>
      <c r="E398" s="3"/>
      <c r="F398" s="8">
        <v>45745</v>
      </c>
      <c r="G398" s="19" t="str">
        <f>IF('단어 시험장'!E398="❌","❌","")</f>
        <v/>
      </c>
      <c r="H398" s="23" t="str" cm="1">
        <f t="array" ref="H398">IF(B398="","",IF(COUNTIF($B$2:$B$501,B398)&gt;1,"No."&amp;_xlfn.TEXTJOIN(", ",TRUE,IF(($B$2:$B$501=B398)*(ROW($B$2:$B$501)&lt;&gt;ROW(B398)),""&amp;$A$2:$A$501,"")),""))</f>
        <v/>
      </c>
      <c r="I398" s="10" t="s">
        <v>1266</v>
      </c>
    </row>
    <row r="399" spans="1:9" x14ac:dyDescent="0.4">
      <c r="A399" s="3">
        <v>398</v>
      </c>
      <c r="B399" s="3" t="s">
        <v>1255</v>
      </c>
      <c r="C399" s="3" t="s">
        <v>1306</v>
      </c>
      <c r="D399" s="4" t="s">
        <v>1485</v>
      </c>
      <c r="E399" s="3"/>
      <c r="F399" s="8">
        <v>45745</v>
      </c>
      <c r="G399" s="19" t="str">
        <f>IF('단어 시험장'!E399="❌","❌","")</f>
        <v/>
      </c>
      <c r="H399" s="23" t="str" cm="1">
        <f t="array" ref="H399">IF(B399="","",IF(COUNTIF($B$2:$B$501,B399)&gt;1,"No."&amp;_xlfn.TEXTJOIN(", ",TRUE,IF(($B$2:$B$501=B399)*(ROW($B$2:$B$501)&lt;&gt;ROW(B399)),""&amp;$A$2:$A$501,"")),""))</f>
        <v/>
      </c>
      <c r="I399" s="10" t="s">
        <v>1266</v>
      </c>
    </row>
    <row r="400" spans="1:9" x14ac:dyDescent="0.4">
      <c r="A400" s="3">
        <v>399</v>
      </c>
      <c r="B400" s="3" t="s">
        <v>1256</v>
      </c>
      <c r="C400" s="3" t="s">
        <v>1307</v>
      </c>
      <c r="D400" s="4" t="s">
        <v>1488</v>
      </c>
      <c r="E400" s="3"/>
      <c r="F400" s="8">
        <v>45745</v>
      </c>
      <c r="G400" s="19" t="str">
        <f>IF('단어 시험장'!E400="❌","❌","")</f>
        <v/>
      </c>
      <c r="H400" s="23" t="str" cm="1">
        <f t="array" ref="H400">IF(B400="","",IF(COUNTIF($B$2:$B$501,B400)&gt;1,"No."&amp;_xlfn.TEXTJOIN(", ",TRUE,IF(($B$2:$B$501=B400)*(ROW($B$2:$B$501)&lt;&gt;ROW(B400)),""&amp;$A$2:$A$501,"")),""))</f>
        <v/>
      </c>
      <c r="I400" s="10" t="s">
        <v>1266</v>
      </c>
    </row>
    <row r="401" spans="1:9" x14ac:dyDescent="0.4">
      <c r="A401" s="3">
        <v>400</v>
      </c>
      <c r="B401" s="3" t="s">
        <v>1257</v>
      </c>
      <c r="C401" s="3" t="s">
        <v>1308</v>
      </c>
      <c r="D401" s="4" t="s">
        <v>1491</v>
      </c>
      <c r="E401" s="3"/>
      <c r="F401" s="8">
        <v>45745</v>
      </c>
      <c r="G401" s="19" t="str">
        <f>IF('단어 시험장'!E401="❌","❌","")</f>
        <v/>
      </c>
      <c r="H401" s="23" t="str" cm="1">
        <f t="array" ref="H401">IF(B401="","",IF(COUNTIF($B$2:$B$501,B401)&gt;1,"No."&amp;_xlfn.TEXTJOIN(", ",TRUE,IF(($B$2:$B$501=B401)*(ROW($B$2:$B$501)&lt;&gt;ROW(B401)),""&amp;$A$2:$A$501,"")),""))</f>
        <v/>
      </c>
      <c r="I401" s="10" t="s">
        <v>1266</v>
      </c>
    </row>
    <row r="402" spans="1:9" x14ac:dyDescent="0.4">
      <c r="A402" s="3">
        <v>401</v>
      </c>
      <c r="B402" s="3" t="s">
        <v>1258</v>
      </c>
      <c r="C402" s="3" t="s">
        <v>1309</v>
      </c>
      <c r="D402" s="4" t="s">
        <v>1492</v>
      </c>
      <c r="E402" s="3"/>
      <c r="F402" s="8">
        <v>45745</v>
      </c>
      <c r="G402" s="19" t="str">
        <f>IF('단어 시험장'!E402="❌","❌","")</f>
        <v/>
      </c>
      <c r="H402" s="23" t="str" cm="1">
        <f t="array" ref="H402">IF(B402="","",IF(COUNTIF($B$2:$B$501,B402)&gt;1,"No."&amp;_xlfn.TEXTJOIN(", ",TRUE,IF(($B$2:$B$501=B402)*(ROW($B$2:$B$501)&lt;&gt;ROW(B402)),""&amp;$A$2:$A$501,"")),""))</f>
        <v/>
      </c>
      <c r="I402" s="10" t="s">
        <v>1266</v>
      </c>
    </row>
    <row r="403" spans="1:9" x14ac:dyDescent="0.4">
      <c r="A403" s="3">
        <v>402</v>
      </c>
      <c r="B403" s="3" t="s">
        <v>1259</v>
      </c>
      <c r="C403" s="3" t="s">
        <v>1310</v>
      </c>
      <c r="D403" s="4" t="s">
        <v>1493</v>
      </c>
      <c r="E403" s="3"/>
      <c r="F403" s="8">
        <v>45745</v>
      </c>
      <c r="G403" s="19" t="str">
        <f>IF('단어 시험장'!E403="❌","❌","")</f>
        <v/>
      </c>
      <c r="H403" s="23" t="str" cm="1">
        <f t="array" ref="H403">IF(B403="","",IF(COUNTIF($B$2:$B$501,B403)&gt;1,"No."&amp;_xlfn.TEXTJOIN(", ",TRUE,IF(($B$2:$B$501=B403)*(ROW($B$2:$B$501)&lt;&gt;ROW(B403)),""&amp;$A$2:$A$501,"")),""))</f>
        <v/>
      </c>
      <c r="I403" s="10" t="s">
        <v>1266</v>
      </c>
    </row>
    <row r="404" spans="1:9" x14ac:dyDescent="0.4">
      <c r="A404" s="3">
        <v>403</v>
      </c>
      <c r="B404" s="3" t="s">
        <v>1260</v>
      </c>
      <c r="C404" s="3" t="s">
        <v>1495</v>
      </c>
      <c r="D404" s="4" t="s">
        <v>1494</v>
      </c>
      <c r="E404" s="3"/>
      <c r="F404" s="8">
        <v>45745</v>
      </c>
      <c r="G404" s="19" t="str">
        <f>IF('단어 시험장'!E404="❌","❌","")</f>
        <v/>
      </c>
      <c r="H404" s="23" t="str" cm="1">
        <f t="array" ref="H404">IF(B404="","",IF(COUNTIF($B$2:$B$501,B404)&gt;1,"No."&amp;_xlfn.TEXTJOIN(", ",TRUE,IF(($B$2:$B$501=B404)*(ROW($B$2:$B$501)&lt;&gt;ROW(B404)),""&amp;$A$2:$A$501,"")),""))</f>
        <v/>
      </c>
      <c r="I404" s="10" t="s">
        <v>1266</v>
      </c>
    </row>
    <row r="405" spans="1:9" x14ac:dyDescent="0.4">
      <c r="A405" s="3">
        <v>404</v>
      </c>
      <c r="B405" s="3" t="s">
        <v>1261</v>
      </c>
      <c r="C405" s="3" t="s">
        <v>1310</v>
      </c>
      <c r="D405" s="4" t="s">
        <v>1496</v>
      </c>
      <c r="E405" s="3"/>
      <c r="F405" s="8">
        <v>45745</v>
      </c>
      <c r="G405" s="19" t="str">
        <f>IF('단어 시험장'!E405="❌","❌","")</f>
        <v/>
      </c>
      <c r="H405" s="23" t="str" cm="1">
        <f t="array" ref="H405">IF(B405="","",IF(COUNTIF($B$2:$B$501,B405)&gt;1,"No."&amp;_xlfn.TEXTJOIN(", ",TRUE,IF(($B$2:$B$501=B405)*(ROW($B$2:$B$501)&lt;&gt;ROW(B405)),""&amp;$A$2:$A$501,"")),""))</f>
        <v/>
      </c>
      <c r="I405" s="10" t="s">
        <v>1266</v>
      </c>
    </row>
    <row r="406" spans="1:9" x14ac:dyDescent="0.4">
      <c r="A406" s="3">
        <v>405</v>
      </c>
      <c r="B406" s="3" t="s">
        <v>1262</v>
      </c>
      <c r="C406" s="3" t="s">
        <v>1311</v>
      </c>
      <c r="D406" s="4" t="s">
        <v>1497</v>
      </c>
      <c r="E406" s="3"/>
      <c r="F406" s="8">
        <v>45745</v>
      </c>
      <c r="G406" s="19" t="str">
        <f>IF('단어 시험장'!E406="❌","❌","")</f>
        <v/>
      </c>
      <c r="H406" s="23" t="str" cm="1">
        <f t="array" ref="H406">IF(B406="","",IF(COUNTIF($B$2:$B$501,B406)&gt;1,"No."&amp;_xlfn.TEXTJOIN(", ",TRUE,IF(($B$2:$B$501=B406)*(ROW($B$2:$B$501)&lt;&gt;ROW(B406)),""&amp;$A$2:$A$501,"")),""))</f>
        <v/>
      </c>
      <c r="I406" s="10" t="s">
        <v>1266</v>
      </c>
    </row>
    <row r="407" spans="1:9" x14ac:dyDescent="0.4">
      <c r="A407" s="3">
        <v>406</v>
      </c>
      <c r="B407" s="3" t="s">
        <v>1263</v>
      </c>
      <c r="C407" s="3" t="s">
        <v>1499</v>
      </c>
      <c r="D407" s="4" t="s">
        <v>1498</v>
      </c>
      <c r="E407" s="3"/>
      <c r="F407" s="8">
        <v>45745</v>
      </c>
      <c r="G407" s="19" t="str">
        <f>IF('단어 시험장'!E407="❌","❌","")</f>
        <v/>
      </c>
      <c r="H407" s="23" t="str" cm="1">
        <f t="array" ref="H407">IF(B407="","",IF(COUNTIF($B$2:$B$501,B407)&gt;1,"No."&amp;_xlfn.TEXTJOIN(", ",TRUE,IF(($B$2:$B$501=B407)*(ROW($B$2:$B$501)&lt;&gt;ROW(B407)),""&amp;$A$2:$A$501,"")),""))</f>
        <v/>
      </c>
      <c r="I407" s="10" t="s">
        <v>1266</v>
      </c>
    </row>
    <row r="408" spans="1:9" x14ac:dyDescent="0.4">
      <c r="A408" s="3">
        <v>407</v>
      </c>
      <c r="B408" s="3" t="s">
        <v>1264</v>
      </c>
      <c r="C408" s="3" t="s">
        <v>1312</v>
      </c>
      <c r="D408" s="4" t="s">
        <v>1500</v>
      </c>
      <c r="E408" s="3"/>
      <c r="F408" s="8">
        <v>45745</v>
      </c>
      <c r="G408" s="19" t="str">
        <f>IF('단어 시험장'!E408="❌","❌","")</f>
        <v/>
      </c>
      <c r="H408" s="23" t="str" cm="1">
        <f t="array" ref="H408">IF(B408="","",IF(COUNTIF($B$2:$B$501,B408)&gt;1,"No."&amp;_xlfn.TEXTJOIN(", ",TRUE,IF(($B$2:$B$501=B408)*(ROW($B$2:$B$501)&lt;&gt;ROW(B408)),""&amp;$A$2:$A$501,"")),""))</f>
        <v/>
      </c>
      <c r="I408" s="10" t="s">
        <v>1266</v>
      </c>
    </row>
    <row r="409" spans="1:9" x14ac:dyDescent="0.4">
      <c r="A409" s="3">
        <v>408</v>
      </c>
      <c r="B409" s="3" t="s">
        <v>1265</v>
      </c>
      <c r="C409" s="3" t="s">
        <v>1313</v>
      </c>
      <c r="D409" s="4" t="s">
        <v>1501</v>
      </c>
      <c r="E409" s="3"/>
      <c r="F409" s="8">
        <v>45745</v>
      </c>
      <c r="G409" s="19" t="str">
        <f>IF('단어 시험장'!E409="❌","❌","")</f>
        <v/>
      </c>
      <c r="H409" s="23" t="str" cm="1">
        <f t="array" ref="H409">IF(B409="","",IF(COUNTIF($B$2:$B$501,B409)&gt;1,"No."&amp;_xlfn.TEXTJOIN(", ",TRUE,IF(($B$2:$B$501=B409)*(ROW($B$2:$B$501)&lt;&gt;ROW(B409)),""&amp;$A$2:$A$501,"")),""))</f>
        <v/>
      </c>
      <c r="I409" s="10" t="s">
        <v>1266</v>
      </c>
    </row>
    <row r="410" spans="1:9" x14ac:dyDescent="0.4">
      <c r="A410" s="3">
        <v>409</v>
      </c>
      <c r="B410" s="3" t="s">
        <v>1272</v>
      </c>
      <c r="C410" s="3" t="s">
        <v>1273</v>
      </c>
      <c r="D410" s="4" t="s">
        <v>1502</v>
      </c>
      <c r="E410" s="3"/>
      <c r="F410" s="8">
        <v>45745</v>
      </c>
      <c r="G410" s="19" t="str">
        <f>IF('단어 시험장'!E410="❌","❌","")</f>
        <v/>
      </c>
      <c r="H410" s="23" t="str" cm="1">
        <f t="array" ref="H410">IF(B410="","",IF(COUNTIF($B$2:$B$501,B410)&gt;1,"No."&amp;_xlfn.TEXTJOIN(", ",TRUE,IF(($B$2:$B$501=B410)*(ROW($B$2:$B$501)&lt;&gt;ROW(B410)),""&amp;$A$2:$A$501,"")),""))</f>
        <v/>
      </c>
      <c r="I410" s="10" t="s">
        <v>1266</v>
      </c>
    </row>
    <row r="411" spans="1:9" x14ac:dyDescent="0.4">
      <c r="A411" s="3">
        <v>410</v>
      </c>
      <c r="B411" s="3" t="s">
        <v>1280</v>
      </c>
      <c r="C411" s="3" t="s">
        <v>1281</v>
      </c>
      <c r="D411" s="4" t="s">
        <v>1503</v>
      </c>
      <c r="E411" s="3"/>
      <c r="F411" s="8">
        <v>45745</v>
      </c>
      <c r="G411" s="19" t="str">
        <f>IF('단어 시험장'!E411="❌","❌","")</f>
        <v/>
      </c>
      <c r="H411" s="23" t="str" cm="1">
        <f t="array" ref="H411">IF(B411="","",IF(COUNTIF($B$2:$B$501,B411)&gt;1,"No."&amp;_xlfn.TEXTJOIN(", ",TRUE,IF(($B$2:$B$501=B411)*(ROW($B$2:$B$501)&lt;&gt;ROW(B411)),""&amp;$A$2:$A$501,"")),""))</f>
        <v/>
      </c>
      <c r="I411" s="10" t="s">
        <v>1266</v>
      </c>
    </row>
    <row r="412" spans="1:9" x14ac:dyDescent="0.4">
      <c r="A412" s="3">
        <v>411</v>
      </c>
      <c r="B412" s="3" t="s">
        <v>1286</v>
      </c>
      <c r="C412" s="3" t="s">
        <v>1666</v>
      </c>
      <c r="D412" s="4" t="s">
        <v>1506</v>
      </c>
      <c r="E412" s="3"/>
      <c r="F412" s="8">
        <v>45746</v>
      </c>
      <c r="G412" s="19" t="str">
        <f>IF('단어 시험장'!E412="❌","❌","")</f>
        <v/>
      </c>
      <c r="H412" s="23" t="str" cm="1">
        <f t="array" ref="H412">IF(B412="","",IF(COUNTIF($B$2:$B$501,B412)&gt;1,"No."&amp;_xlfn.TEXTJOIN(", ",TRUE,IF(($B$2:$B$501=B412)*(ROW($B$2:$B$501)&lt;&gt;ROW(B412)),""&amp;$A$2:$A$501,"")),""))</f>
        <v/>
      </c>
      <c r="I412" s="10" t="s">
        <v>1266</v>
      </c>
    </row>
    <row r="413" spans="1:9" x14ac:dyDescent="0.4">
      <c r="A413" s="3">
        <v>412</v>
      </c>
      <c r="B413" s="3" t="s">
        <v>423</v>
      </c>
      <c r="C413" s="3" t="s">
        <v>1316</v>
      </c>
      <c r="D413" s="4" t="s">
        <v>1667</v>
      </c>
      <c r="E413" s="3"/>
      <c r="F413" s="8">
        <v>45746</v>
      </c>
      <c r="G413" s="19" t="str">
        <f>IF('단어 시험장'!E413="❌","❌","")</f>
        <v/>
      </c>
      <c r="H413" s="23" t="str" cm="1">
        <f t="array" ref="H413">IF(B413="","",IF(COUNTIF($B$2:$B$501,B413)&gt;1,"No."&amp;_xlfn.TEXTJOIN(", ",TRUE,IF(($B$2:$B$501=B413)*(ROW($B$2:$B$501)&lt;&gt;ROW(B413)),""&amp;$A$2:$A$501,"")),""))</f>
        <v>No.206</v>
      </c>
      <c r="I413" s="10" t="s">
        <v>1433</v>
      </c>
    </row>
    <row r="414" spans="1:9" x14ac:dyDescent="0.4">
      <c r="A414" s="3">
        <v>413</v>
      </c>
      <c r="B414" s="3" t="s">
        <v>1320</v>
      </c>
      <c r="C414" s="3" t="s">
        <v>1321</v>
      </c>
      <c r="D414" s="4" t="s">
        <v>1668</v>
      </c>
      <c r="E414" s="3"/>
      <c r="F414" s="8">
        <v>45746</v>
      </c>
      <c r="G414" s="19" t="str">
        <f>IF('단어 시험장'!E414="❌","❌","")</f>
        <v/>
      </c>
      <c r="H414" s="23" t="str" cm="1">
        <f t="array" ref="H414">IF(B414="","",IF(COUNTIF($B$2:$B$501,B414)&gt;1,"No."&amp;_xlfn.TEXTJOIN(", ",TRUE,IF(($B$2:$B$501=B414)*(ROW($B$2:$B$501)&lt;&gt;ROW(B414)),""&amp;$A$2:$A$501,"")),""))</f>
        <v/>
      </c>
      <c r="I414" s="10" t="s">
        <v>1433</v>
      </c>
    </row>
    <row r="415" spans="1:9" x14ac:dyDescent="0.4">
      <c r="A415" s="3">
        <v>414</v>
      </c>
      <c r="B415" s="3" t="s">
        <v>1323</v>
      </c>
      <c r="C415" s="3" t="s">
        <v>1324</v>
      </c>
      <c r="D415" s="4" t="s">
        <v>1669</v>
      </c>
      <c r="E415" s="3"/>
      <c r="F415" s="8">
        <v>45746</v>
      </c>
      <c r="G415" s="19" t="str">
        <f>IF('단어 시험장'!E415="❌","❌","")</f>
        <v/>
      </c>
      <c r="H415" s="23" t="str" cm="1">
        <f t="array" ref="H415">IF(B415="","",IF(COUNTIF($B$2:$B$501,B415)&gt;1,"No."&amp;_xlfn.TEXTJOIN(", ",TRUE,IF(($B$2:$B$501=B415)*(ROW($B$2:$B$501)&lt;&gt;ROW(B415)),""&amp;$A$2:$A$501,"")),""))</f>
        <v/>
      </c>
      <c r="I415" s="10" t="s">
        <v>1433</v>
      </c>
    </row>
    <row r="416" spans="1:9" x14ac:dyDescent="0.4">
      <c r="A416" s="3">
        <v>415</v>
      </c>
      <c r="B416" s="3" t="s">
        <v>1351</v>
      </c>
      <c r="C416" s="3" t="s">
        <v>1352</v>
      </c>
      <c r="D416" s="4" t="s">
        <v>1670</v>
      </c>
      <c r="E416" s="3"/>
      <c r="F416" s="8">
        <v>45746</v>
      </c>
      <c r="G416" s="19" t="str">
        <f>IF('단어 시험장'!E416="❌","❌","")</f>
        <v/>
      </c>
      <c r="H416" s="23" t="str" cm="1">
        <f t="array" ref="H416">IF(B416="","",IF(COUNTIF($B$2:$B$501,B416)&gt;1,"No."&amp;_xlfn.TEXTJOIN(", ",TRUE,IF(($B$2:$B$501=B416)*(ROW($B$2:$B$501)&lt;&gt;ROW(B416)),""&amp;$A$2:$A$501,"")),""))</f>
        <v/>
      </c>
      <c r="I416" s="10" t="s">
        <v>1433</v>
      </c>
    </row>
    <row r="417" spans="1:9" x14ac:dyDescent="0.4">
      <c r="A417" s="3">
        <v>416</v>
      </c>
      <c r="B417" s="3" t="s">
        <v>1358</v>
      </c>
      <c r="C417" s="3" t="s">
        <v>1359</v>
      </c>
      <c r="D417" s="4" t="s">
        <v>1855</v>
      </c>
      <c r="E417" s="3"/>
      <c r="F417" s="8">
        <v>45746</v>
      </c>
      <c r="G417" s="19" t="str">
        <f>IF('단어 시험장'!E417="❌","❌","")</f>
        <v/>
      </c>
      <c r="H417" s="23" t="str" cm="1">
        <f t="array" ref="H417">IF(B417="","",IF(COUNTIF($B$2:$B$501,B417)&gt;1,"No."&amp;_xlfn.TEXTJOIN(", ",TRUE,IF(($B$2:$B$501=B417)*(ROW($B$2:$B$501)&lt;&gt;ROW(B417)),""&amp;$A$2:$A$501,"")),""))</f>
        <v/>
      </c>
      <c r="I417" s="10" t="s">
        <v>1433</v>
      </c>
    </row>
    <row r="418" spans="1:9" x14ac:dyDescent="0.4">
      <c r="A418" s="3">
        <v>417</v>
      </c>
      <c r="B418" s="3" t="s">
        <v>1372</v>
      </c>
      <c r="C418" s="3" t="s">
        <v>1373</v>
      </c>
      <c r="D418" s="4" t="s">
        <v>1856</v>
      </c>
      <c r="E418" s="3"/>
      <c r="F418" s="8">
        <v>45746</v>
      </c>
      <c r="G418" s="19" t="str">
        <f>IF('단어 시험장'!E418="❌","❌","")</f>
        <v/>
      </c>
      <c r="H418" s="23" t="str" cm="1">
        <f t="array" ref="H418">IF(B418="","",IF(COUNTIF($B$2:$B$501,B418)&gt;1,"No."&amp;_xlfn.TEXTJOIN(", ",TRUE,IF(($B$2:$B$501=B418)*(ROW($B$2:$B$501)&lt;&gt;ROW(B418)),""&amp;$A$2:$A$501,"")),""))</f>
        <v/>
      </c>
      <c r="I418" s="10" t="s">
        <v>1433</v>
      </c>
    </row>
    <row r="419" spans="1:9" x14ac:dyDescent="0.4">
      <c r="A419" s="3">
        <v>418</v>
      </c>
      <c r="B419" s="3" t="s">
        <v>1392</v>
      </c>
      <c r="C419" s="3" t="s">
        <v>1393</v>
      </c>
      <c r="D419" s="4" t="s">
        <v>1858</v>
      </c>
      <c r="E419" s="3"/>
      <c r="F419" s="8">
        <v>45746</v>
      </c>
      <c r="G419" s="19" t="str">
        <f>IF('단어 시험장'!E419="❌","❌","")</f>
        <v/>
      </c>
      <c r="H419" s="23" t="str" cm="1">
        <f t="array" ref="H419">IF(B419="","",IF(COUNTIF($B$2:$B$501,B419)&gt;1,"No."&amp;_xlfn.TEXTJOIN(", ",TRUE,IF(($B$2:$B$501=B419)*(ROW($B$2:$B$501)&lt;&gt;ROW(B419)),""&amp;$A$2:$A$501,"")),""))</f>
        <v/>
      </c>
      <c r="I419" s="10" t="s">
        <v>1433</v>
      </c>
    </row>
    <row r="420" spans="1:9" x14ac:dyDescent="0.4">
      <c r="A420" s="3">
        <v>419</v>
      </c>
      <c r="B420" s="3" t="s">
        <v>1419</v>
      </c>
      <c r="C420" s="3" t="s">
        <v>1420</v>
      </c>
      <c r="D420" s="4" t="s">
        <v>1859</v>
      </c>
      <c r="E420" s="3"/>
      <c r="F420" s="8">
        <v>45746</v>
      </c>
      <c r="G420" s="19" t="str">
        <f>IF('단어 시험장'!E420="❌","❌","")</f>
        <v/>
      </c>
      <c r="H420" s="23" t="str" cm="1">
        <f t="array" ref="H420">IF(B420="","",IF(COUNTIF($B$2:$B$501,B420)&gt;1,"No."&amp;_xlfn.TEXTJOIN(", ",TRUE,IF(($B$2:$B$501=B420)*(ROW($B$2:$B$501)&lt;&gt;ROW(B420)),""&amp;$A$2:$A$501,"")),""))</f>
        <v/>
      </c>
      <c r="I420" s="10" t="s">
        <v>1433</v>
      </c>
    </row>
    <row r="421" spans="1:9" x14ac:dyDescent="0.4">
      <c r="A421" s="3">
        <v>420</v>
      </c>
      <c r="B421" s="3" t="s">
        <v>1431</v>
      </c>
      <c r="C421" s="3" t="s">
        <v>1432</v>
      </c>
      <c r="D421" s="4" t="s">
        <v>1860</v>
      </c>
      <c r="E421" s="3"/>
      <c r="F421" s="8">
        <v>45746</v>
      </c>
      <c r="G421" s="19" t="str">
        <f>IF('단어 시험장'!E421="❌","❌","")</f>
        <v/>
      </c>
      <c r="H421" s="23" t="str" cm="1">
        <f t="array" ref="H421">IF(B421="","",IF(COUNTIF($B$2:$B$501,B421)&gt;1,"No."&amp;_xlfn.TEXTJOIN(", ",TRUE,IF(($B$2:$B$501=B421)*(ROW($B$2:$B$501)&lt;&gt;ROW(B421)),""&amp;$A$2:$A$501,"")),""))</f>
        <v/>
      </c>
      <c r="I421" s="10" t="s">
        <v>1433</v>
      </c>
    </row>
    <row r="422" spans="1:9" x14ac:dyDescent="0.4">
      <c r="A422" s="3">
        <v>421</v>
      </c>
      <c r="B422" s="3" t="s">
        <v>1441</v>
      </c>
      <c r="C422" s="3" t="s">
        <v>1442</v>
      </c>
      <c r="D422" s="4" t="s">
        <v>1863</v>
      </c>
      <c r="E422" s="3"/>
      <c r="F422" s="8">
        <v>45746</v>
      </c>
      <c r="G422" s="19" t="str">
        <f>IF('단어 시험장'!E422="❌","❌","")</f>
        <v/>
      </c>
      <c r="H422" s="23" t="str" cm="1">
        <f t="array" ref="H422">IF(B422="","",IF(COUNTIF($B$2:$B$501,B422)&gt;1,"No."&amp;_xlfn.TEXTJOIN(", ",TRUE,IF(($B$2:$B$501=B422)*(ROW($B$2:$B$501)&lt;&gt;ROW(B422)),""&amp;$A$2:$A$501,"")),""))</f>
        <v/>
      </c>
      <c r="I422" s="10" t="s">
        <v>1433</v>
      </c>
    </row>
    <row r="423" spans="1:9" x14ac:dyDescent="0.4">
      <c r="A423" s="3">
        <v>422</v>
      </c>
      <c r="B423" s="3" t="s">
        <v>1447</v>
      </c>
      <c r="C423" s="3" t="s">
        <v>1448</v>
      </c>
      <c r="D423" s="4" t="s">
        <v>1864</v>
      </c>
      <c r="E423" s="3"/>
      <c r="F423" s="8">
        <v>45746</v>
      </c>
      <c r="G423" s="19" t="str">
        <f>IF('단어 시험장'!E423="❌","❌","")</f>
        <v/>
      </c>
      <c r="H423" s="23" t="str" cm="1">
        <f t="array" ref="H423">IF(B423="","",IF(COUNTIF($B$2:$B$501,B423)&gt;1,"No."&amp;_xlfn.TEXTJOIN(", ",TRUE,IF(($B$2:$B$501=B423)*(ROW($B$2:$B$501)&lt;&gt;ROW(B423)),""&amp;$A$2:$A$501,"")),""))</f>
        <v/>
      </c>
      <c r="I423" s="10" t="s">
        <v>1433</v>
      </c>
    </row>
    <row r="424" spans="1:9" x14ac:dyDescent="0.4">
      <c r="A424" s="3">
        <v>423</v>
      </c>
      <c r="B424" s="3" t="s">
        <v>1452</v>
      </c>
      <c r="C424" s="3" t="s">
        <v>1453</v>
      </c>
      <c r="D424" s="4" t="s">
        <v>1865</v>
      </c>
      <c r="E424" s="3"/>
      <c r="F424" s="8">
        <v>45746</v>
      </c>
      <c r="G424" s="19" t="str">
        <f>IF('단어 시험장'!E424="❌","❌","")</f>
        <v/>
      </c>
      <c r="H424" s="23" t="str" cm="1">
        <f t="array" ref="H424">IF(B424="","",IF(COUNTIF($B$2:$B$501,B424)&gt;1,"No."&amp;_xlfn.TEXTJOIN(", ",TRUE,IF(($B$2:$B$501=B424)*(ROW($B$2:$B$501)&lt;&gt;ROW(B424)),""&amp;$A$2:$A$501,"")),""))</f>
        <v/>
      </c>
      <c r="I424" s="10" t="s">
        <v>1433</v>
      </c>
    </row>
    <row r="425" spans="1:9" x14ac:dyDescent="0.4">
      <c r="A425" s="3">
        <v>424</v>
      </c>
      <c r="B425" s="3" t="s">
        <v>1464</v>
      </c>
      <c r="C425" s="3" t="s">
        <v>1465</v>
      </c>
      <c r="D425" s="4" t="s">
        <v>1866</v>
      </c>
      <c r="E425" s="3"/>
      <c r="F425" s="8">
        <v>45746</v>
      </c>
      <c r="G425" s="19" t="str">
        <f>IF('단어 시험장'!E425="❌","❌","")</f>
        <v/>
      </c>
      <c r="H425" s="23" t="str" cm="1">
        <f t="array" ref="H425">IF(B425="","",IF(COUNTIF($B$2:$B$501,B425)&gt;1,"No."&amp;_xlfn.TEXTJOIN(", ",TRUE,IF(($B$2:$B$501=B425)*(ROW($B$2:$B$501)&lt;&gt;ROW(B425)),""&amp;$A$2:$A$501,"")),""))</f>
        <v/>
      </c>
      <c r="I425" s="10" t="s">
        <v>1433</v>
      </c>
    </row>
    <row r="426" spans="1:9" x14ac:dyDescent="0.4">
      <c r="A426" s="3">
        <v>425</v>
      </c>
      <c r="B426" s="3" t="s">
        <v>1472</v>
      </c>
      <c r="C426" s="3" t="s">
        <v>1473</v>
      </c>
      <c r="D426" s="4" t="s">
        <v>1867</v>
      </c>
      <c r="E426" s="3"/>
      <c r="F426" s="8">
        <v>45746</v>
      </c>
      <c r="G426" s="19" t="str">
        <f>IF('단어 시험장'!E426="❌","❌","")</f>
        <v/>
      </c>
      <c r="H426" s="23" t="str" cm="1">
        <f t="array" ref="H426">IF(B426="","",IF(COUNTIF($B$2:$B$501,B426)&gt;1,"No."&amp;_xlfn.TEXTJOIN(", ",TRUE,IF(($B$2:$B$501=B426)*(ROW($B$2:$B$501)&lt;&gt;ROW(B426)),""&amp;$A$2:$A$501,"")),""))</f>
        <v/>
      </c>
      <c r="I426" s="10" t="s">
        <v>1433</v>
      </c>
    </row>
    <row r="427" spans="1:9" x14ac:dyDescent="0.4">
      <c r="A427" s="3">
        <v>426</v>
      </c>
      <c r="B427" s="3" t="s">
        <v>1474</v>
      </c>
      <c r="C427" s="3" t="s">
        <v>1475</v>
      </c>
      <c r="D427" s="4" t="s">
        <v>1868</v>
      </c>
      <c r="E427" s="3"/>
      <c r="F427" s="8">
        <v>45746</v>
      </c>
      <c r="G427" s="19" t="str">
        <f>IF('단어 시험장'!E427="❌","❌","")</f>
        <v/>
      </c>
      <c r="H427" s="23" t="str" cm="1">
        <f t="array" ref="H427">IF(B427="","",IF(COUNTIF($B$2:$B$501,B427)&gt;1,"No."&amp;_xlfn.TEXTJOIN(", ",TRUE,IF(($B$2:$B$501=B427)*(ROW($B$2:$B$501)&lt;&gt;ROW(B427)),""&amp;$A$2:$A$501,"")),""))</f>
        <v/>
      </c>
      <c r="I427" s="10" t="s">
        <v>1433</v>
      </c>
    </row>
    <row r="428" spans="1:9" x14ac:dyDescent="0.4">
      <c r="A428" s="3">
        <v>427</v>
      </c>
      <c r="B428" s="3" t="s">
        <v>1477</v>
      </c>
      <c r="C428" s="3" t="s">
        <v>1478</v>
      </c>
      <c r="D428" s="4" t="s">
        <v>1871</v>
      </c>
      <c r="E428" s="3"/>
      <c r="F428" s="8">
        <v>45746</v>
      </c>
      <c r="G428" s="19" t="str">
        <f>IF('단어 시험장'!E428="❌","❌","")</f>
        <v/>
      </c>
      <c r="H428" s="23" t="str" cm="1">
        <f t="array" ref="H428">IF(B428="","",IF(COUNTIF($B$2:$B$501,B428)&gt;1,"No."&amp;_xlfn.TEXTJOIN(", ",TRUE,IF(($B$2:$B$501=B428)*(ROW($B$2:$B$501)&lt;&gt;ROW(B428)),""&amp;$A$2:$A$501,"")),""))</f>
        <v/>
      </c>
      <c r="I428" s="10" t="s">
        <v>1433</v>
      </c>
    </row>
    <row r="429" spans="1:9" x14ac:dyDescent="0.4">
      <c r="A429" s="3">
        <v>428</v>
      </c>
      <c r="B429" s="3" t="s">
        <v>1480</v>
      </c>
      <c r="C429" s="3" t="s">
        <v>1481</v>
      </c>
      <c r="D429" s="4" t="s">
        <v>1872</v>
      </c>
      <c r="E429" s="3"/>
      <c r="F429" s="8">
        <v>45746</v>
      </c>
      <c r="G429" s="19" t="str">
        <f>IF('단어 시험장'!E429="❌","❌","")</f>
        <v/>
      </c>
      <c r="H429" s="23" t="str" cm="1">
        <f t="array" ref="H429">IF(B429="","",IF(COUNTIF($B$2:$B$501,B429)&gt;1,"No."&amp;_xlfn.TEXTJOIN(", ",TRUE,IF(($B$2:$B$501=B429)*(ROW($B$2:$B$501)&lt;&gt;ROW(B429)),""&amp;$A$2:$A$501,"")),""))</f>
        <v/>
      </c>
      <c r="I429" s="10" t="s">
        <v>1433</v>
      </c>
    </row>
    <row r="430" spans="1:9" x14ac:dyDescent="0.4">
      <c r="A430" s="3">
        <v>429</v>
      </c>
      <c r="B430" s="3" t="s">
        <v>1486</v>
      </c>
      <c r="C430" s="3" t="s">
        <v>1487</v>
      </c>
      <c r="D430" s="4" t="s">
        <v>1873</v>
      </c>
      <c r="E430" s="3"/>
      <c r="F430" s="8">
        <v>45746</v>
      </c>
      <c r="G430" s="19" t="str">
        <f>IF('단어 시험장'!E430="❌","❌","")</f>
        <v/>
      </c>
      <c r="H430" s="23" t="str" cm="1">
        <f t="array" ref="H430">IF(B430="","",IF(COUNTIF($B$2:$B$501,B430)&gt;1,"No."&amp;_xlfn.TEXTJOIN(", ",TRUE,IF(($B$2:$B$501=B430)*(ROW($B$2:$B$501)&lt;&gt;ROW(B430)),""&amp;$A$2:$A$501,"")),""))</f>
        <v/>
      </c>
      <c r="I430" s="10" t="s">
        <v>1433</v>
      </c>
    </row>
    <row r="431" spans="1:9" x14ac:dyDescent="0.4">
      <c r="A431" s="3">
        <v>430</v>
      </c>
      <c r="B431" s="3" t="s">
        <v>1489</v>
      </c>
      <c r="C431" s="3" t="s">
        <v>1490</v>
      </c>
      <c r="D431" s="4" t="s">
        <v>1874</v>
      </c>
      <c r="E431" s="3"/>
      <c r="F431" s="8">
        <v>45746</v>
      </c>
      <c r="G431" s="19" t="str">
        <f>IF('단어 시험장'!E431="❌","❌","")</f>
        <v/>
      </c>
      <c r="H431" s="23" t="str" cm="1">
        <f t="array" ref="H431">IF(B431="","",IF(COUNTIF($B$2:$B$501,B431)&gt;1,"No."&amp;_xlfn.TEXTJOIN(", ",TRUE,IF(($B$2:$B$501=B431)*(ROW($B$2:$B$501)&lt;&gt;ROW(B431)),""&amp;$A$2:$A$501,"")),""))</f>
        <v/>
      </c>
      <c r="I431" s="10" t="s">
        <v>1433</v>
      </c>
    </row>
    <row r="432" spans="1:9" x14ac:dyDescent="0.4">
      <c r="A432" s="3">
        <v>431</v>
      </c>
      <c r="B432" s="3" t="s">
        <v>1504</v>
      </c>
      <c r="C432" s="3" t="s">
        <v>1505</v>
      </c>
      <c r="D432" s="4" t="s">
        <v>1877</v>
      </c>
      <c r="E432" s="3"/>
      <c r="F432" s="8">
        <v>45746</v>
      </c>
      <c r="G432" s="19" t="str">
        <f>IF('단어 시험장'!E432="❌","❌","")</f>
        <v/>
      </c>
      <c r="H432" s="23" t="str" cm="1">
        <f t="array" ref="H432">IF(B432="","",IF(COUNTIF($B$2:$B$501,B432)&gt;1,"No."&amp;_xlfn.TEXTJOIN(", ",TRUE,IF(($B$2:$B$501=B432)*(ROW($B$2:$B$501)&lt;&gt;ROW(B432)),""&amp;$A$2:$A$501,"")),""))</f>
        <v>No.494</v>
      </c>
      <c r="I432" s="10" t="s">
        <v>1433</v>
      </c>
    </row>
    <row r="433" spans="1:9" x14ac:dyDescent="0.4">
      <c r="A433" s="3">
        <v>432</v>
      </c>
      <c r="B433" s="3" t="s">
        <v>1508</v>
      </c>
      <c r="C433" s="3" t="s">
        <v>1509</v>
      </c>
      <c r="D433" s="4" t="s">
        <v>1878</v>
      </c>
      <c r="E433" s="3"/>
      <c r="F433" s="8">
        <v>46112</v>
      </c>
      <c r="G433" s="19" t="str">
        <f>IF('단어 시험장'!E433="❌","❌","")</f>
        <v/>
      </c>
      <c r="H433" s="23" t="str" cm="1">
        <f t="array" ref="H433">IF(B433="","",IF(COUNTIF($B$2:$B$501,B433)&gt;1,"No."&amp;_xlfn.TEXTJOIN(", ",TRUE,IF(($B$2:$B$501=B433)*(ROW($B$2:$B$501)&lt;&gt;ROW(B433)),""&amp;$A$2:$A$501,"")),""))</f>
        <v/>
      </c>
      <c r="I433" s="10" t="s">
        <v>1507</v>
      </c>
    </row>
    <row r="434" spans="1:9" x14ac:dyDescent="0.4">
      <c r="A434" s="3">
        <v>433</v>
      </c>
      <c r="B434" s="3" t="s">
        <v>1510</v>
      </c>
      <c r="C434" s="3" t="s">
        <v>1565</v>
      </c>
      <c r="D434" s="4" t="s">
        <v>1879</v>
      </c>
      <c r="E434" s="3"/>
      <c r="F434" s="8">
        <v>46112</v>
      </c>
      <c r="G434" s="19" t="str">
        <f>IF('단어 시험장'!E434="❌","❌","")</f>
        <v/>
      </c>
      <c r="H434" s="23" t="str" cm="1">
        <f t="array" ref="H434">IF(B434="","",IF(COUNTIF($B$2:$B$501,B434)&gt;1,"No."&amp;_xlfn.TEXTJOIN(", ",TRUE,IF(($B$2:$B$501=B434)*(ROW($B$2:$B$501)&lt;&gt;ROW(B434)),""&amp;$A$2:$A$501,"")),""))</f>
        <v/>
      </c>
      <c r="I434" s="10" t="s">
        <v>1507</v>
      </c>
    </row>
    <row r="435" spans="1:9" x14ac:dyDescent="0.4">
      <c r="A435" s="3">
        <v>434</v>
      </c>
      <c r="B435" s="3" t="s">
        <v>1511</v>
      </c>
      <c r="C435" s="3" t="s">
        <v>1566</v>
      </c>
      <c r="D435" s="4" t="s">
        <v>1880</v>
      </c>
      <c r="E435" s="3"/>
      <c r="F435" s="8">
        <v>46112</v>
      </c>
      <c r="G435" s="19" t="str">
        <f>IF('단어 시험장'!E435="❌","❌","")</f>
        <v/>
      </c>
      <c r="H435" s="23" t="str" cm="1">
        <f t="array" ref="H435">IF(B435="","",IF(COUNTIF($B$2:$B$501,B435)&gt;1,"No."&amp;_xlfn.TEXTJOIN(", ",TRUE,IF(($B$2:$B$501=B435)*(ROW($B$2:$B$501)&lt;&gt;ROW(B435)),""&amp;$A$2:$A$501,"")),""))</f>
        <v/>
      </c>
      <c r="I435" s="10" t="s">
        <v>1507</v>
      </c>
    </row>
    <row r="436" spans="1:9" x14ac:dyDescent="0.4">
      <c r="A436" s="3">
        <v>435</v>
      </c>
      <c r="B436" s="3" t="s">
        <v>1512</v>
      </c>
      <c r="C436" s="3" t="s">
        <v>1565</v>
      </c>
      <c r="D436" s="4" t="s">
        <v>1881</v>
      </c>
      <c r="E436" s="3"/>
      <c r="F436" s="8">
        <v>46112</v>
      </c>
      <c r="G436" s="19" t="str">
        <f>IF('단어 시험장'!E436="❌","❌","")</f>
        <v/>
      </c>
      <c r="H436" s="23" t="str" cm="1">
        <f t="array" ref="H436">IF(B436="","",IF(COUNTIF($B$2:$B$501,B436)&gt;1,"No."&amp;_xlfn.TEXTJOIN(", ",TRUE,IF(($B$2:$B$501=B436)*(ROW($B$2:$B$501)&lt;&gt;ROW(B436)),""&amp;$A$2:$A$501,"")),""))</f>
        <v/>
      </c>
      <c r="I436" s="10" t="s">
        <v>1507</v>
      </c>
    </row>
    <row r="437" spans="1:9" x14ac:dyDescent="0.4">
      <c r="A437" s="3">
        <v>436</v>
      </c>
      <c r="B437" s="3" t="s">
        <v>1513</v>
      </c>
      <c r="C437" s="3" t="s">
        <v>1567</v>
      </c>
      <c r="D437" s="4" t="s">
        <v>1882</v>
      </c>
      <c r="E437" s="3"/>
      <c r="F437" s="8">
        <v>46112</v>
      </c>
      <c r="G437" s="19" t="str">
        <f>IF('단어 시험장'!E437="❌","❌","")</f>
        <v/>
      </c>
      <c r="H437" s="23" t="str" cm="1">
        <f t="array" ref="H437">IF(B437="","",IF(COUNTIF($B$2:$B$501,B437)&gt;1,"No."&amp;_xlfn.TEXTJOIN(", ",TRUE,IF(($B$2:$B$501=B437)*(ROW($B$2:$B$501)&lt;&gt;ROW(B437)),""&amp;$A$2:$A$501,"")),""))</f>
        <v/>
      </c>
      <c r="I437" s="10" t="s">
        <v>1507</v>
      </c>
    </row>
    <row r="438" spans="1:9" x14ac:dyDescent="0.4">
      <c r="A438" s="3">
        <v>437</v>
      </c>
      <c r="B438" s="3" t="s">
        <v>1514</v>
      </c>
      <c r="C438" s="3" t="s">
        <v>1568</v>
      </c>
      <c r="D438" s="4" t="s">
        <v>1885</v>
      </c>
      <c r="E438" s="3"/>
      <c r="F438" s="8">
        <v>46112</v>
      </c>
      <c r="G438" s="19" t="str">
        <f>IF('단어 시험장'!E438="❌","❌","")</f>
        <v/>
      </c>
      <c r="H438" s="23" t="str" cm="1">
        <f t="array" ref="H438">IF(B438="","",IF(COUNTIF($B$2:$B$501,B438)&gt;1,"No."&amp;_xlfn.TEXTJOIN(", ",TRUE,IF(($B$2:$B$501=B438)*(ROW($B$2:$B$501)&lt;&gt;ROW(B438)),""&amp;$A$2:$A$501,"")),""))</f>
        <v/>
      </c>
      <c r="I438" s="10" t="s">
        <v>1507</v>
      </c>
    </row>
    <row r="439" spans="1:9" x14ac:dyDescent="0.4">
      <c r="A439" s="3">
        <v>438</v>
      </c>
      <c r="B439" s="3" t="s">
        <v>56</v>
      </c>
      <c r="C439" s="3" t="s">
        <v>1569</v>
      </c>
      <c r="D439" s="4" t="s">
        <v>1886</v>
      </c>
      <c r="E439" s="3"/>
      <c r="F439" s="8">
        <v>46112</v>
      </c>
      <c r="G439" s="19" t="str">
        <f>IF('단어 시험장'!E439="❌","❌","")</f>
        <v/>
      </c>
      <c r="H439" s="23" t="str" cm="1">
        <f t="array" ref="H439">IF(B439="","",IF(COUNTIF($B$2:$B$501,B439)&gt;1,"No."&amp;_xlfn.TEXTJOIN(", ",TRUE,IF(($B$2:$B$501=B439)*(ROW($B$2:$B$501)&lt;&gt;ROW(B439)),""&amp;$A$2:$A$501,"")),""))</f>
        <v>No.51</v>
      </c>
      <c r="I439" s="10" t="s">
        <v>1507</v>
      </c>
    </row>
    <row r="440" spans="1:9" x14ac:dyDescent="0.4">
      <c r="A440" s="3">
        <v>439</v>
      </c>
      <c r="B440" s="3" t="s">
        <v>1515</v>
      </c>
      <c r="C440" s="3" t="s">
        <v>1570</v>
      </c>
      <c r="D440" s="4" t="s">
        <v>1887</v>
      </c>
      <c r="E440" s="3"/>
      <c r="F440" s="8">
        <v>46112</v>
      </c>
      <c r="G440" s="19" t="str">
        <f>IF('단어 시험장'!E440="❌","❌","")</f>
        <v/>
      </c>
      <c r="H440" s="23" t="str" cm="1">
        <f t="array" ref="H440">IF(B440="","",IF(COUNTIF($B$2:$B$501,B440)&gt;1,"No."&amp;_xlfn.TEXTJOIN(", ",TRUE,IF(($B$2:$B$501=B440)*(ROW($B$2:$B$501)&lt;&gt;ROW(B440)),""&amp;$A$2:$A$501,"")),""))</f>
        <v/>
      </c>
      <c r="I440" s="10" t="s">
        <v>1507</v>
      </c>
    </row>
    <row r="441" spans="1:9" x14ac:dyDescent="0.4">
      <c r="A441" s="3">
        <v>440</v>
      </c>
      <c r="B441" s="3" t="s">
        <v>1516</v>
      </c>
      <c r="C441" s="3" t="s">
        <v>1571</v>
      </c>
      <c r="D441" s="4" t="s">
        <v>1888</v>
      </c>
      <c r="E441" s="3"/>
      <c r="F441" s="8">
        <v>46112</v>
      </c>
      <c r="G441" s="19" t="str">
        <f>IF('단어 시험장'!E441="❌","❌","")</f>
        <v/>
      </c>
      <c r="H441" s="23" t="str" cm="1">
        <f t="array" ref="H441">IF(B441="","",IF(COUNTIF($B$2:$B$501,B441)&gt;1,"No."&amp;_xlfn.TEXTJOIN(", ",TRUE,IF(($B$2:$B$501=B441)*(ROW($B$2:$B$501)&lt;&gt;ROW(B441)),""&amp;$A$2:$A$501,"")),""))</f>
        <v/>
      </c>
      <c r="I441" s="10" t="s">
        <v>1507</v>
      </c>
    </row>
    <row r="442" spans="1:9" x14ac:dyDescent="0.4">
      <c r="A442" s="3">
        <v>441</v>
      </c>
      <c r="B442" s="3" t="s">
        <v>1517</v>
      </c>
      <c r="C442" s="3" t="s">
        <v>1572</v>
      </c>
      <c r="D442" s="4" t="s">
        <v>1889</v>
      </c>
      <c r="E442" s="3"/>
      <c r="F442" s="8">
        <v>46112</v>
      </c>
      <c r="G442" s="19" t="str">
        <f>IF('단어 시험장'!E442="❌","❌","")</f>
        <v/>
      </c>
      <c r="H442" s="23" t="str" cm="1">
        <f t="array" ref="H442">IF(B442="","",IF(COUNTIF($B$2:$B$501,B442)&gt;1,"No."&amp;_xlfn.TEXTJOIN(", ",TRUE,IF(($B$2:$B$501=B442)*(ROW($B$2:$B$501)&lt;&gt;ROW(B442)),""&amp;$A$2:$A$501,"")),""))</f>
        <v/>
      </c>
      <c r="I442" s="10" t="s">
        <v>1507</v>
      </c>
    </row>
    <row r="443" spans="1:9" x14ac:dyDescent="0.4">
      <c r="A443" s="3">
        <v>442</v>
      </c>
      <c r="B443" s="3" t="s">
        <v>1518</v>
      </c>
      <c r="C443" s="3" t="s">
        <v>1573</v>
      </c>
      <c r="D443" s="4" t="s">
        <v>1892</v>
      </c>
      <c r="E443" s="3"/>
      <c r="F443" s="8">
        <v>46112</v>
      </c>
      <c r="G443" s="19" t="str">
        <f>IF('단어 시험장'!E443="❌","❌","")</f>
        <v/>
      </c>
      <c r="H443" s="23" t="str" cm="1">
        <f t="array" ref="H443">IF(B443="","",IF(COUNTIF($B$2:$B$501,B443)&gt;1,"No."&amp;_xlfn.TEXTJOIN(", ",TRUE,IF(($B$2:$B$501=B443)*(ROW($B$2:$B$501)&lt;&gt;ROW(B443)),""&amp;$A$2:$A$501,"")),""))</f>
        <v/>
      </c>
      <c r="I443" s="10" t="s">
        <v>1507</v>
      </c>
    </row>
    <row r="444" spans="1:9" x14ac:dyDescent="0.4">
      <c r="A444" s="3">
        <v>443</v>
      </c>
      <c r="B444" s="3" t="s">
        <v>1519</v>
      </c>
      <c r="C444" s="3" t="s">
        <v>1576</v>
      </c>
      <c r="D444" s="4" t="s">
        <v>1893</v>
      </c>
      <c r="E444" s="3"/>
      <c r="F444" s="8">
        <v>46112</v>
      </c>
      <c r="G444" s="19" t="str">
        <f>IF('단어 시험장'!E444="❌","❌","")</f>
        <v/>
      </c>
      <c r="H444" s="23" t="str" cm="1">
        <f t="array" ref="H444">IF(B444="","",IF(COUNTIF($B$2:$B$501,B444)&gt;1,"No."&amp;_xlfn.TEXTJOIN(", ",TRUE,IF(($B$2:$B$501=B444)*(ROW($B$2:$B$501)&lt;&gt;ROW(B444)),""&amp;$A$2:$A$501,"")),""))</f>
        <v/>
      </c>
      <c r="I444" s="10" t="s">
        <v>1507</v>
      </c>
    </row>
    <row r="445" spans="1:9" x14ac:dyDescent="0.4">
      <c r="A445" s="3">
        <v>444</v>
      </c>
      <c r="B445" s="3" t="s">
        <v>1520</v>
      </c>
      <c r="C445" s="3" t="s">
        <v>1577</v>
      </c>
      <c r="D445" s="4" t="s">
        <v>1894</v>
      </c>
      <c r="E445" s="3"/>
      <c r="F445" s="8">
        <v>46112</v>
      </c>
      <c r="G445" s="19" t="str">
        <f>IF('단어 시험장'!E445="❌","❌","")</f>
        <v/>
      </c>
      <c r="H445" s="23" t="str" cm="1">
        <f t="array" ref="H445">IF(B445="","",IF(COUNTIF($B$2:$B$501,B445)&gt;1,"No."&amp;_xlfn.TEXTJOIN(", ",TRUE,IF(($B$2:$B$501=B445)*(ROW($B$2:$B$501)&lt;&gt;ROW(B445)),""&amp;$A$2:$A$501,"")),""))</f>
        <v/>
      </c>
      <c r="I445" s="10" t="s">
        <v>1507</v>
      </c>
    </row>
    <row r="446" spans="1:9" x14ac:dyDescent="0.4">
      <c r="A446" s="3">
        <v>445</v>
      </c>
      <c r="B446" s="3" t="s">
        <v>1521</v>
      </c>
      <c r="C446" s="3" t="s">
        <v>1578</v>
      </c>
      <c r="D446" s="4" t="s">
        <v>1895</v>
      </c>
      <c r="E446" s="3"/>
      <c r="F446" s="8">
        <v>46112</v>
      </c>
      <c r="G446" s="19" t="str">
        <f>IF('단어 시험장'!E446="❌","❌","")</f>
        <v/>
      </c>
      <c r="H446" s="23" t="str" cm="1">
        <f t="array" ref="H446">IF(B446="","",IF(COUNTIF($B$2:$B$501,B446)&gt;1,"No."&amp;_xlfn.TEXTJOIN(", ",TRUE,IF(($B$2:$B$501=B446)*(ROW($B$2:$B$501)&lt;&gt;ROW(B446)),""&amp;$A$2:$A$501,"")),""))</f>
        <v/>
      </c>
      <c r="I446" s="10" t="s">
        <v>1507</v>
      </c>
    </row>
    <row r="447" spans="1:9" x14ac:dyDescent="0.4">
      <c r="A447" s="3">
        <v>446</v>
      </c>
      <c r="B447" s="3" t="s">
        <v>1522</v>
      </c>
      <c r="C447" s="3" t="s">
        <v>1579</v>
      </c>
      <c r="D447" s="4" t="s">
        <v>1896</v>
      </c>
      <c r="E447" s="3"/>
      <c r="F447" s="8">
        <v>46112</v>
      </c>
      <c r="G447" s="19" t="str">
        <f>IF('단어 시험장'!E447="❌","❌","")</f>
        <v/>
      </c>
      <c r="H447" s="23" t="str" cm="1">
        <f t="array" ref="H447">IF(B447="","",IF(COUNTIF($B$2:$B$501,B447)&gt;1,"No."&amp;_xlfn.TEXTJOIN(", ",TRUE,IF(($B$2:$B$501=B447)*(ROW($B$2:$B$501)&lt;&gt;ROW(B447)),""&amp;$A$2:$A$501,"")),""))</f>
        <v/>
      </c>
      <c r="I447" s="10" t="s">
        <v>1507</v>
      </c>
    </row>
    <row r="448" spans="1:9" x14ac:dyDescent="0.4">
      <c r="A448" s="3">
        <v>447</v>
      </c>
      <c r="B448" s="3" t="s">
        <v>1523</v>
      </c>
      <c r="C448" s="3" t="s">
        <v>1580</v>
      </c>
      <c r="D448" s="4" t="s">
        <v>1897</v>
      </c>
      <c r="E448" s="3"/>
      <c r="F448" s="8">
        <v>46112</v>
      </c>
      <c r="G448" s="19" t="str">
        <f>IF('단어 시험장'!E448="❌","❌","")</f>
        <v/>
      </c>
      <c r="H448" s="23" t="str" cm="1">
        <f t="array" ref="H448">IF(B448="","",IF(COUNTIF($B$2:$B$501,B448)&gt;1,"No."&amp;_xlfn.TEXTJOIN(", ",TRUE,IF(($B$2:$B$501=B448)*(ROW($B$2:$B$501)&lt;&gt;ROW(B448)),""&amp;$A$2:$A$501,"")),""))</f>
        <v/>
      </c>
      <c r="I448" s="10" t="s">
        <v>1507</v>
      </c>
    </row>
    <row r="449" spans="1:9" x14ac:dyDescent="0.4">
      <c r="A449" s="3">
        <v>448</v>
      </c>
      <c r="B449" s="3" t="s">
        <v>1524</v>
      </c>
      <c r="C449" s="3" t="s">
        <v>1581</v>
      </c>
      <c r="D449" s="4" t="s">
        <v>1898</v>
      </c>
      <c r="E449" s="3"/>
      <c r="F449" s="8">
        <v>46112</v>
      </c>
      <c r="G449" s="19" t="str">
        <f>IF('단어 시험장'!E449="❌","❌","")</f>
        <v/>
      </c>
      <c r="H449" s="23" t="str" cm="1">
        <f t="array" ref="H449">IF(B449="","",IF(COUNTIF($B$2:$B$501,B449)&gt;1,"No."&amp;_xlfn.TEXTJOIN(", ",TRUE,IF(($B$2:$B$501=B449)*(ROW($B$2:$B$501)&lt;&gt;ROW(B449)),""&amp;$A$2:$A$501,"")),""))</f>
        <v/>
      </c>
      <c r="I449" s="10" t="s">
        <v>1507</v>
      </c>
    </row>
    <row r="450" spans="1:9" x14ac:dyDescent="0.4">
      <c r="A450" s="3">
        <v>449</v>
      </c>
      <c r="B450" s="3" t="s">
        <v>1525</v>
      </c>
      <c r="C450" s="3" t="s">
        <v>1582</v>
      </c>
      <c r="D450" s="4" t="s">
        <v>1899</v>
      </c>
      <c r="E450" s="3"/>
      <c r="F450" s="8">
        <v>46112</v>
      </c>
      <c r="G450" s="19" t="str">
        <f>IF('단어 시험장'!E450="❌","❌","")</f>
        <v/>
      </c>
      <c r="H450" s="23" t="str" cm="1">
        <f t="array" ref="H450">IF(B450="","",IF(COUNTIF($B$2:$B$501,B450)&gt;1,"No."&amp;_xlfn.TEXTJOIN(", ",TRUE,IF(($B$2:$B$501=B450)*(ROW($B$2:$B$501)&lt;&gt;ROW(B450)),""&amp;$A$2:$A$501,"")),""))</f>
        <v/>
      </c>
      <c r="I450" s="10" t="s">
        <v>1507</v>
      </c>
    </row>
    <row r="451" spans="1:9" x14ac:dyDescent="0.4">
      <c r="A451" s="3">
        <v>450</v>
      </c>
      <c r="B451" s="3" t="s">
        <v>1526</v>
      </c>
      <c r="C451" s="3" t="s">
        <v>1583</v>
      </c>
      <c r="D451" s="4" t="s">
        <v>1900</v>
      </c>
      <c r="E451" s="3"/>
      <c r="F451" s="8">
        <v>46112</v>
      </c>
      <c r="G451" s="19" t="str">
        <f>IF('단어 시험장'!E451="❌","❌","")</f>
        <v/>
      </c>
      <c r="H451" s="23" t="str" cm="1">
        <f t="array" ref="H451">IF(B451="","",IF(COUNTIF($B$2:$B$501,B451)&gt;1,"No."&amp;_xlfn.TEXTJOIN(", ",TRUE,IF(($B$2:$B$501=B451)*(ROW($B$2:$B$501)&lt;&gt;ROW(B451)),""&amp;$A$2:$A$501,"")),""))</f>
        <v/>
      </c>
      <c r="I451" s="10" t="s">
        <v>1507</v>
      </c>
    </row>
    <row r="452" spans="1:9" x14ac:dyDescent="0.4">
      <c r="A452" s="3">
        <v>451</v>
      </c>
      <c r="B452" s="3" t="s">
        <v>1527</v>
      </c>
      <c r="C452" s="3" t="s">
        <v>1584</v>
      </c>
      <c r="D452" s="4" t="s">
        <v>1901</v>
      </c>
      <c r="E452" s="3"/>
      <c r="F452" s="8">
        <v>46112</v>
      </c>
      <c r="G452" s="19" t="str">
        <f>IF('단어 시험장'!E452="❌","❌","")</f>
        <v/>
      </c>
      <c r="H452" s="23" t="str" cm="1">
        <f t="array" ref="H452">IF(B452="","",IF(COUNTIF($B$2:$B$501,B452)&gt;1,"No."&amp;_xlfn.TEXTJOIN(", ",TRUE,IF(($B$2:$B$501=B452)*(ROW($B$2:$B$501)&lt;&gt;ROW(B452)),""&amp;$A$2:$A$501,"")),""))</f>
        <v/>
      </c>
      <c r="I452" s="10" t="s">
        <v>1507</v>
      </c>
    </row>
    <row r="453" spans="1:9" x14ac:dyDescent="0.4">
      <c r="A453" s="3">
        <v>452</v>
      </c>
      <c r="B453" s="3" t="s">
        <v>1528</v>
      </c>
      <c r="C453" s="3" t="s">
        <v>1585</v>
      </c>
      <c r="D453" s="4" t="s">
        <v>1904</v>
      </c>
      <c r="E453" s="3"/>
      <c r="F453" s="8">
        <v>46112</v>
      </c>
      <c r="G453" s="19" t="str">
        <f>IF('단어 시험장'!E453="❌","❌","")</f>
        <v/>
      </c>
      <c r="H453" s="23" t="str" cm="1">
        <f t="array" ref="H453">IF(B453="","",IF(COUNTIF($B$2:$B$501,B453)&gt;1,"No."&amp;_xlfn.TEXTJOIN(", ",TRUE,IF(($B$2:$B$501=B453)*(ROW($B$2:$B$501)&lt;&gt;ROW(B453)),""&amp;$A$2:$A$501,"")),""))</f>
        <v/>
      </c>
      <c r="I453" s="10" t="s">
        <v>1507</v>
      </c>
    </row>
    <row r="454" spans="1:9" x14ac:dyDescent="0.4">
      <c r="A454" s="3">
        <v>453</v>
      </c>
      <c r="B454" s="3" t="s">
        <v>895</v>
      </c>
      <c r="C454" s="3" t="s">
        <v>1586</v>
      </c>
      <c r="D454" s="4" t="s">
        <v>1625</v>
      </c>
      <c r="E454" s="3"/>
      <c r="F454" s="8">
        <v>46112</v>
      </c>
      <c r="G454" s="19" t="str">
        <f>IF('단어 시험장'!E454="❌","❌","")</f>
        <v/>
      </c>
      <c r="H454" s="23" t="str" cm="1">
        <f t="array" ref="H454">IF(B454="","",IF(COUNTIF($B$2:$B$501,B454)&gt;1,"No."&amp;_xlfn.TEXTJOIN(", ",TRUE,IF(($B$2:$B$501=B454)*(ROW($B$2:$B$501)&lt;&gt;ROW(B454)),""&amp;$A$2:$A$501,"")),""))</f>
        <v>No.349</v>
      </c>
      <c r="I454" s="10" t="s">
        <v>1507</v>
      </c>
    </row>
    <row r="455" spans="1:9" x14ac:dyDescent="0.4">
      <c r="A455" s="3">
        <v>454</v>
      </c>
      <c r="B455" s="3" t="s">
        <v>1529</v>
      </c>
      <c r="C455" s="3" t="s">
        <v>1587</v>
      </c>
      <c r="D455" s="4" t="s">
        <v>1626</v>
      </c>
      <c r="E455" s="3"/>
      <c r="F455" s="8">
        <v>46112</v>
      </c>
      <c r="G455" s="19" t="str">
        <f>IF('단어 시험장'!E455="❌","❌","")</f>
        <v/>
      </c>
      <c r="H455" s="23" t="str" cm="1">
        <f t="array" ref="H455">IF(B455="","",IF(COUNTIF($B$2:$B$501,B455)&gt;1,"No."&amp;_xlfn.TEXTJOIN(", ",TRUE,IF(($B$2:$B$501=B455)*(ROW($B$2:$B$501)&lt;&gt;ROW(B455)),""&amp;$A$2:$A$501,"")),""))</f>
        <v/>
      </c>
      <c r="I455" s="10" t="s">
        <v>1507</v>
      </c>
    </row>
    <row r="456" spans="1:9" x14ac:dyDescent="0.4">
      <c r="A456" s="3">
        <v>455</v>
      </c>
      <c r="B456" s="3" t="s">
        <v>1530</v>
      </c>
      <c r="C456" s="3" t="s">
        <v>1588</v>
      </c>
      <c r="D456" s="4" t="s">
        <v>1627</v>
      </c>
      <c r="E456" s="3"/>
      <c r="F456" s="8">
        <v>46112</v>
      </c>
      <c r="G456" s="19" t="str">
        <f>IF('단어 시험장'!E456="❌","❌","")</f>
        <v/>
      </c>
      <c r="H456" s="23" t="str" cm="1">
        <f t="array" ref="H456">IF(B456="","",IF(COUNTIF($B$2:$B$501,B456)&gt;1,"No."&amp;_xlfn.TEXTJOIN(", ",TRUE,IF(($B$2:$B$501=B456)*(ROW($B$2:$B$501)&lt;&gt;ROW(B456)),""&amp;$A$2:$A$501,"")),""))</f>
        <v/>
      </c>
      <c r="I456" s="10" t="s">
        <v>1507</v>
      </c>
    </row>
    <row r="457" spans="1:9" x14ac:dyDescent="0.4">
      <c r="A457" s="3">
        <v>456</v>
      </c>
      <c r="B457" s="3" t="s">
        <v>1531</v>
      </c>
      <c r="C457" s="3" t="s">
        <v>1589</v>
      </c>
      <c r="D457" s="4" t="s">
        <v>1628</v>
      </c>
      <c r="E457" s="3"/>
      <c r="F457" s="8">
        <v>46112</v>
      </c>
      <c r="G457" s="19" t="str">
        <f>IF('단어 시험장'!E457="❌","❌","")</f>
        <v/>
      </c>
      <c r="H457" s="23" t="str" cm="1">
        <f t="array" ref="H457">IF(B457="","",IF(COUNTIF($B$2:$B$501,B457)&gt;1,"No."&amp;_xlfn.TEXTJOIN(", ",TRUE,IF(($B$2:$B$501=B457)*(ROW($B$2:$B$501)&lt;&gt;ROW(B457)),""&amp;$A$2:$A$501,"")),""))</f>
        <v/>
      </c>
      <c r="I457" s="10" t="s">
        <v>1507</v>
      </c>
    </row>
    <row r="458" spans="1:9" x14ac:dyDescent="0.4">
      <c r="A458" s="3">
        <v>457</v>
      </c>
      <c r="B458" s="3" t="s">
        <v>1532</v>
      </c>
      <c r="C458" s="3" t="s">
        <v>1590</v>
      </c>
      <c r="D458" s="4" t="s">
        <v>1664</v>
      </c>
      <c r="E458" s="3"/>
      <c r="F458" s="8">
        <v>46112</v>
      </c>
      <c r="G458" s="19" t="str">
        <f>IF('단어 시험장'!E458="❌","❌","")</f>
        <v/>
      </c>
      <c r="H458" s="23" t="str" cm="1">
        <f t="array" ref="H458">IF(B458="","",IF(COUNTIF($B$2:$B$501,B458)&gt;1,"No."&amp;_xlfn.TEXTJOIN(", ",TRUE,IF(($B$2:$B$501=B458)*(ROW($B$2:$B$501)&lt;&gt;ROW(B458)),""&amp;$A$2:$A$501,"")),""))</f>
        <v/>
      </c>
      <c r="I458" s="10" t="s">
        <v>1507</v>
      </c>
    </row>
    <row r="459" spans="1:9" x14ac:dyDescent="0.4">
      <c r="A459" s="3">
        <v>458</v>
      </c>
      <c r="B459" s="3" t="s">
        <v>1533</v>
      </c>
      <c r="C459" s="3" t="s">
        <v>1591</v>
      </c>
      <c r="D459" s="4" t="s">
        <v>1662</v>
      </c>
      <c r="E459" s="3"/>
      <c r="F459" s="8">
        <v>46112</v>
      </c>
      <c r="G459" s="19" t="str">
        <f>IF('단어 시험장'!E459="❌","❌","")</f>
        <v/>
      </c>
      <c r="H459" s="23" t="str" cm="1">
        <f t="array" ref="H459">IF(B459="","",IF(COUNTIF($B$2:$B$501,B459)&gt;1,"No."&amp;_xlfn.TEXTJOIN(", ",TRUE,IF(($B$2:$B$501=B459)*(ROW($B$2:$B$501)&lt;&gt;ROW(B459)),""&amp;$A$2:$A$501,"")),""))</f>
        <v/>
      </c>
      <c r="I459" s="10" t="s">
        <v>1507</v>
      </c>
    </row>
    <row r="460" spans="1:9" x14ac:dyDescent="0.4">
      <c r="A460" s="3">
        <v>459</v>
      </c>
      <c r="B460" s="3" t="s">
        <v>1534</v>
      </c>
      <c r="C460" s="3" t="s">
        <v>1593</v>
      </c>
      <c r="D460" s="4" t="s">
        <v>1629</v>
      </c>
      <c r="E460" s="3"/>
      <c r="F460" s="8">
        <v>46112</v>
      </c>
      <c r="G460" s="19" t="str">
        <f>IF('단어 시험장'!E460="❌","❌","")</f>
        <v/>
      </c>
      <c r="H460" s="23" t="str" cm="1">
        <f t="array" ref="H460">IF(B460="","",IF(COUNTIF($B$2:$B$501,B460)&gt;1,"No."&amp;_xlfn.TEXTJOIN(", ",TRUE,IF(($B$2:$B$501=B460)*(ROW($B$2:$B$501)&lt;&gt;ROW(B460)),""&amp;$A$2:$A$501,"")),""))</f>
        <v/>
      </c>
      <c r="I460" s="10" t="s">
        <v>1507</v>
      </c>
    </row>
    <row r="461" spans="1:9" x14ac:dyDescent="0.4">
      <c r="A461" s="3">
        <v>460</v>
      </c>
      <c r="B461" s="3" t="s">
        <v>1535</v>
      </c>
      <c r="C461" s="3" t="s">
        <v>1592</v>
      </c>
      <c r="D461" s="4" t="s">
        <v>1630</v>
      </c>
      <c r="E461" s="3"/>
      <c r="F461" s="8">
        <v>46112</v>
      </c>
      <c r="G461" s="19" t="str">
        <f>IF('단어 시험장'!E461="❌","❌","")</f>
        <v/>
      </c>
      <c r="H461" s="23" t="str" cm="1">
        <f t="array" ref="H461">IF(B461="","",IF(COUNTIF($B$2:$B$501,B461)&gt;1,"No."&amp;_xlfn.TEXTJOIN(", ",TRUE,IF(($B$2:$B$501=B461)*(ROW($B$2:$B$501)&lt;&gt;ROW(B461)),""&amp;$A$2:$A$501,"")),""))</f>
        <v/>
      </c>
      <c r="I461" s="10" t="s">
        <v>1507</v>
      </c>
    </row>
    <row r="462" spans="1:9" x14ac:dyDescent="0.4">
      <c r="A462" s="3">
        <v>461</v>
      </c>
      <c r="B462" s="3" t="s">
        <v>1536</v>
      </c>
      <c r="C462" s="3" t="s">
        <v>1594</v>
      </c>
      <c r="D462" s="4" t="s">
        <v>1631</v>
      </c>
      <c r="E462" s="3"/>
      <c r="F462" s="8">
        <v>46112</v>
      </c>
      <c r="G462" s="19" t="str">
        <f>IF('단어 시험장'!E462="❌","❌","")</f>
        <v/>
      </c>
      <c r="H462" s="23" t="str" cm="1">
        <f t="array" ref="H462">IF(B462="","",IF(COUNTIF($B$2:$B$501,B462)&gt;1,"No."&amp;_xlfn.TEXTJOIN(", ",TRUE,IF(($B$2:$B$501=B462)*(ROW($B$2:$B$501)&lt;&gt;ROW(B462)),""&amp;$A$2:$A$501,"")),""))</f>
        <v/>
      </c>
      <c r="I462" s="10" t="s">
        <v>1507</v>
      </c>
    </row>
    <row r="463" spans="1:9" x14ac:dyDescent="0.4">
      <c r="A463" s="3">
        <v>462</v>
      </c>
      <c r="B463" s="3" t="s">
        <v>1537</v>
      </c>
      <c r="C463" s="3" t="s">
        <v>1592</v>
      </c>
      <c r="D463" s="4" t="s">
        <v>1632</v>
      </c>
      <c r="E463" s="3"/>
      <c r="F463" s="8">
        <v>46112</v>
      </c>
      <c r="G463" s="19" t="str">
        <f>IF('단어 시험장'!E463="❌","❌","")</f>
        <v/>
      </c>
      <c r="H463" s="23" t="str" cm="1">
        <f t="array" ref="H463">IF(B463="","",IF(COUNTIF($B$2:$B$501,B463)&gt;1,"No."&amp;_xlfn.TEXTJOIN(", ",TRUE,IF(($B$2:$B$501=B463)*(ROW($B$2:$B$501)&lt;&gt;ROW(B463)),""&amp;$A$2:$A$501,"")),""))</f>
        <v/>
      </c>
      <c r="I463" s="10" t="s">
        <v>1507</v>
      </c>
    </row>
    <row r="464" spans="1:9" x14ac:dyDescent="0.4">
      <c r="A464" s="3">
        <v>463</v>
      </c>
      <c r="B464" s="3" t="s">
        <v>1538</v>
      </c>
      <c r="C464" s="3" t="s">
        <v>1595</v>
      </c>
      <c r="D464" s="4" t="s">
        <v>1633</v>
      </c>
      <c r="E464" s="3"/>
      <c r="F464" s="8">
        <v>46112</v>
      </c>
      <c r="G464" s="19" t="str">
        <f>IF('단어 시험장'!E464="❌","❌","")</f>
        <v/>
      </c>
      <c r="H464" s="23" t="str" cm="1">
        <f t="array" ref="H464">IF(B464="","",IF(COUNTIF($B$2:$B$501,B464)&gt;1,"No."&amp;_xlfn.TEXTJOIN(", ",TRUE,IF(($B$2:$B$501=B464)*(ROW($B$2:$B$501)&lt;&gt;ROW(B464)),""&amp;$A$2:$A$501,"")),""))</f>
        <v/>
      </c>
      <c r="I464" s="10" t="s">
        <v>1507</v>
      </c>
    </row>
    <row r="465" spans="1:9" x14ac:dyDescent="0.4">
      <c r="A465" s="3">
        <v>464</v>
      </c>
      <c r="B465" s="3" t="s">
        <v>1539</v>
      </c>
      <c r="C465" s="3" t="s">
        <v>1596</v>
      </c>
      <c r="D465" s="4" t="s">
        <v>1634</v>
      </c>
      <c r="E465" s="3"/>
      <c r="F465" s="8">
        <v>46112</v>
      </c>
      <c r="G465" s="19" t="str">
        <f>IF('단어 시험장'!E465="❌","❌","")</f>
        <v/>
      </c>
      <c r="H465" s="23" t="str" cm="1">
        <f t="array" ref="H465">IF(B465="","",IF(COUNTIF($B$2:$B$501,B465)&gt;1,"No."&amp;_xlfn.TEXTJOIN(", ",TRUE,IF(($B$2:$B$501=B465)*(ROW($B$2:$B$501)&lt;&gt;ROW(B465)),""&amp;$A$2:$A$501,"")),""))</f>
        <v/>
      </c>
      <c r="I465" s="10" t="s">
        <v>1507</v>
      </c>
    </row>
    <row r="466" spans="1:9" x14ac:dyDescent="0.4">
      <c r="A466" s="3">
        <v>465</v>
      </c>
      <c r="B466" s="3" t="s">
        <v>1540</v>
      </c>
      <c r="C466" s="3" t="s">
        <v>1597</v>
      </c>
      <c r="D466" s="4" t="s">
        <v>1665</v>
      </c>
      <c r="E466" s="3"/>
      <c r="F466" s="8">
        <v>46112</v>
      </c>
      <c r="G466" s="19" t="str">
        <f>IF('단어 시험장'!E466="❌","❌","")</f>
        <v/>
      </c>
      <c r="H466" s="23" t="str" cm="1">
        <f t="array" ref="H466">IF(B466="","",IF(COUNTIF($B$2:$B$501,B466)&gt;1,"No."&amp;_xlfn.TEXTJOIN(", ",TRUE,IF(($B$2:$B$501=B466)*(ROW($B$2:$B$501)&lt;&gt;ROW(B466)),""&amp;$A$2:$A$501,"")),""))</f>
        <v/>
      </c>
      <c r="I466" s="10" t="s">
        <v>1507</v>
      </c>
    </row>
    <row r="467" spans="1:9" x14ac:dyDescent="0.4">
      <c r="A467" s="3">
        <v>466</v>
      </c>
      <c r="B467" s="3" t="s">
        <v>1542</v>
      </c>
      <c r="C467" s="3" t="s">
        <v>1543</v>
      </c>
      <c r="D467" s="4" t="s">
        <v>1663</v>
      </c>
      <c r="E467" s="3"/>
      <c r="F467" s="8">
        <v>46112</v>
      </c>
      <c r="G467" s="19" t="str">
        <f>IF('단어 시험장'!E467="❌","❌","")</f>
        <v/>
      </c>
      <c r="H467" s="23" t="str" cm="1">
        <f t="array" ref="H467">IF(B467="","",IF(COUNTIF($B$2:$B$501,B467)&gt;1,"No."&amp;_xlfn.TEXTJOIN(", ",TRUE,IF(($B$2:$B$501=B467)*(ROW($B$2:$B$501)&lt;&gt;ROW(B467)),""&amp;$A$2:$A$501,"")),""))</f>
        <v/>
      </c>
      <c r="I467" s="10" t="s">
        <v>1507</v>
      </c>
    </row>
    <row r="468" spans="1:9" x14ac:dyDescent="0.4">
      <c r="A468" s="3">
        <v>467</v>
      </c>
      <c r="B468" s="3" t="s">
        <v>1541</v>
      </c>
      <c r="C468" s="3" t="s">
        <v>1598</v>
      </c>
      <c r="D468" s="4" t="s">
        <v>1635</v>
      </c>
      <c r="E468" s="3"/>
      <c r="F468" s="8">
        <v>46112</v>
      </c>
      <c r="G468" s="19" t="str">
        <f>IF('단어 시험장'!E468="❌","❌","")</f>
        <v/>
      </c>
      <c r="H468" s="23" t="str" cm="1">
        <f t="array" ref="H468">IF(B468="","",IF(COUNTIF($B$2:$B$501,B468)&gt;1,"No."&amp;_xlfn.TEXTJOIN(", ",TRUE,IF(($B$2:$B$501=B468)*(ROW($B$2:$B$501)&lt;&gt;ROW(B468)),""&amp;$A$2:$A$501,"")),""))</f>
        <v/>
      </c>
      <c r="I468" s="10" t="s">
        <v>1507</v>
      </c>
    </row>
    <row r="469" spans="1:9" x14ac:dyDescent="0.4">
      <c r="A469" s="3">
        <v>468</v>
      </c>
      <c r="B469" s="3" t="s">
        <v>1544</v>
      </c>
      <c r="C469" s="3" t="s">
        <v>1599</v>
      </c>
      <c r="D469" s="4" t="s">
        <v>1636</v>
      </c>
      <c r="E469" s="3"/>
      <c r="F469" s="8">
        <v>46112</v>
      </c>
      <c r="G469" s="19" t="str">
        <f>IF('단어 시험장'!E469="❌","❌","")</f>
        <v/>
      </c>
      <c r="H469" s="23" t="str" cm="1">
        <f t="array" ref="H469">IF(B469="","",IF(COUNTIF($B$2:$B$501,B469)&gt;1,"No."&amp;_xlfn.TEXTJOIN(", ",TRUE,IF(($B$2:$B$501=B469)*(ROW($B$2:$B$501)&lt;&gt;ROW(B469)),""&amp;$A$2:$A$501,"")),""))</f>
        <v/>
      </c>
      <c r="I469" s="10" t="s">
        <v>1507</v>
      </c>
    </row>
    <row r="470" spans="1:9" x14ac:dyDescent="0.4">
      <c r="A470" s="3">
        <v>469</v>
      </c>
      <c r="B470" s="3" t="s">
        <v>1545</v>
      </c>
      <c r="C470" s="3" t="s">
        <v>1600</v>
      </c>
      <c r="D470" s="4" t="s">
        <v>1637</v>
      </c>
      <c r="E470" s="3"/>
      <c r="F470" s="8">
        <v>46112</v>
      </c>
      <c r="G470" s="19" t="str">
        <f>IF('단어 시험장'!E470="❌","❌","")</f>
        <v/>
      </c>
      <c r="H470" s="23" t="str" cm="1">
        <f t="array" ref="H470">IF(B470="","",IF(COUNTIF($B$2:$B$501,B470)&gt;1,"No."&amp;_xlfn.TEXTJOIN(", ",TRUE,IF(($B$2:$B$501=B470)*(ROW($B$2:$B$501)&lt;&gt;ROW(B470)),""&amp;$A$2:$A$501,"")),""))</f>
        <v/>
      </c>
      <c r="I470" s="10" t="s">
        <v>1507</v>
      </c>
    </row>
    <row r="471" spans="1:9" x14ac:dyDescent="0.4">
      <c r="A471" s="3">
        <v>470</v>
      </c>
      <c r="B471" s="3" t="s">
        <v>1546</v>
      </c>
      <c r="C471" s="3" t="s">
        <v>1601</v>
      </c>
      <c r="D471" s="4" t="s">
        <v>1638</v>
      </c>
      <c r="E471" s="3"/>
      <c r="F471" s="8">
        <v>46112</v>
      </c>
      <c r="G471" s="19" t="str">
        <f>IF('단어 시험장'!E471="❌","❌","")</f>
        <v/>
      </c>
      <c r="H471" s="23" t="str" cm="1">
        <f t="array" ref="H471">IF(B471="","",IF(COUNTIF($B$2:$B$501,B471)&gt;1,"No."&amp;_xlfn.TEXTJOIN(", ",TRUE,IF(($B$2:$B$501=B471)*(ROW($B$2:$B$501)&lt;&gt;ROW(B471)),""&amp;$A$2:$A$501,"")),""))</f>
        <v/>
      </c>
      <c r="I471" s="10" t="s">
        <v>1507</v>
      </c>
    </row>
    <row r="472" spans="1:9" x14ac:dyDescent="0.4">
      <c r="A472" s="3">
        <v>471</v>
      </c>
      <c r="B472" s="3" t="s">
        <v>1547</v>
      </c>
      <c r="C472" s="3" t="s">
        <v>1604</v>
      </c>
      <c r="D472" s="4" t="s">
        <v>1639</v>
      </c>
      <c r="E472" s="3"/>
      <c r="F472" s="8">
        <v>46112</v>
      </c>
      <c r="G472" s="19" t="str">
        <f>IF('단어 시험장'!E472="❌","❌","")</f>
        <v/>
      </c>
      <c r="H472" s="23" t="str" cm="1">
        <f t="array" ref="H472">IF(B472="","",IF(COUNTIF($B$2:$B$501,B472)&gt;1,"No."&amp;_xlfn.TEXTJOIN(", ",TRUE,IF(($B$2:$B$501=B472)*(ROW($B$2:$B$501)&lt;&gt;ROW(B472)),""&amp;$A$2:$A$501,"")),""))</f>
        <v/>
      </c>
      <c r="I472" s="10" t="s">
        <v>1507</v>
      </c>
    </row>
    <row r="473" spans="1:9" x14ac:dyDescent="0.4">
      <c r="A473" s="3">
        <v>472</v>
      </c>
      <c r="B473" s="3" t="s">
        <v>1548</v>
      </c>
      <c r="C473" s="3" t="s">
        <v>1605</v>
      </c>
      <c r="D473" s="4" t="s">
        <v>1640</v>
      </c>
      <c r="E473" s="3"/>
      <c r="F473" s="8">
        <v>46112</v>
      </c>
      <c r="G473" s="19" t="str">
        <f>IF('단어 시험장'!E473="❌","❌","")</f>
        <v/>
      </c>
      <c r="H473" s="23" t="str" cm="1">
        <f t="array" ref="H473">IF(B473="","",IF(COUNTIF($B$2:$B$501,B473)&gt;1,"No."&amp;_xlfn.TEXTJOIN(", ",TRUE,IF(($B$2:$B$501=B473)*(ROW($B$2:$B$501)&lt;&gt;ROW(B473)),""&amp;$A$2:$A$501,"")),""))</f>
        <v/>
      </c>
      <c r="I473" s="10" t="s">
        <v>1507</v>
      </c>
    </row>
    <row r="474" spans="1:9" x14ac:dyDescent="0.4">
      <c r="A474" s="3">
        <v>473</v>
      </c>
      <c r="B474" s="3" t="s">
        <v>1549</v>
      </c>
      <c r="C474" s="3" t="s">
        <v>1608</v>
      </c>
      <c r="D474" s="4" t="s">
        <v>1641</v>
      </c>
      <c r="E474" s="3"/>
      <c r="F474" s="8">
        <v>46112</v>
      </c>
      <c r="G474" s="19" t="str">
        <f>IF('단어 시험장'!E474="❌","❌","")</f>
        <v/>
      </c>
      <c r="H474" s="23" t="str" cm="1">
        <f t="array" ref="H474">IF(B474="","",IF(COUNTIF($B$2:$B$501,B474)&gt;1,"No."&amp;_xlfn.TEXTJOIN(", ",TRUE,IF(($B$2:$B$501=B474)*(ROW($B$2:$B$501)&lt;&gt;ROW(B474)),""&amp;$A$2:$A$501,"")),""))</f>
        <v/>
      </c>
      <c r="I474" s="10" t="s">
        <v>1507</v>
      </c>
    </row>
    <row r="475" spans="1:9" x14ac:dyDescent="0.4">
      <c r="A475" s="3">
        <v>474</v>
      </c>
      <c r="B475" s="3" t="s">
        <v>1550</v>
      </c>
      <c r="C475" s="3" t="s">
        <v>1609</v>
      </c>
      <c r="D475" s="4" t="s">
        <v>1642</v>
      </c>
      <c r="E475" s="3"/>
      <c r="F475" s="8">
        <v>46112</v>
      </c>
      <c r="G475" s="19" t="str">
        <f>IF('단어 시험장'!E475="❌","❌","")</f>
        <v/>
      </c>
      <c r="H475" s="23" t="str" cm="1">
        <f t="array" ref="H475">IF(B475="","",IF(COUNTIF($B$2:$B$501,B475)&gt;1,"No."&amp;_xlfn.TEXTJOIN(", ",TRUE,IF(($B$2:$B$501=B475)*(ROW($B$2:$B$501)&lt;&gt;ROW(B475)),""&amp;$A$2:$A$501,"")),""))</f>
        <v/>
      </c>
      <c r="I475" s="10" t="s">
        <v>1507</v>
      </c>
    </row>
    <row r="476" spans="1:9" x14ac:dyDescent="0.4">
      <c r="A476" s="3">
        <v>475</v>
      </c>
      <c r="B476" s="3" t="s">
        <v>1551</v>
      </c>
      <c r="C476" s="3" t="s">
        <v>1610</v>
      </c>
      <c r="D476" s="4" t="s">
        <v>1643</v>
      </c>
      <c r="E476" s="3"/>
      <c r="F476" s="8">
        <v>46112</v>
      </c>
      <c r="G476" s="19" t="str">
        <f>IF('단어 시험장'!E476="❌","❌","")</f>
        <v/>
      </c>
      <c r="H476" s="23" t="str" cm="1">
        <f t="array" ref="H476">IF(B476="","",IF(COUNTIF($B$2:$B$501,B476)&gt;1,"No."&amp;_xlfn.TEXTJOIN(", ",TRUE,IF(($B$2:$B$501=B476)*(ROW($B$2:$B$501)&lt;&gt;ROW(B476)),""&amp;$A$2:$A$501,"")),""))</f>
        <v/>
      </c>
      <c r="I476" s="10" t="s">
        <v>1507</v>
      </c>
    </row>
    <row r="477" spans="1:9" x14ac:dyDescent="0.4">
      <c r="A477" s="3">
        <v>476</v>
      </c>
      <c r="B477" s="3" t="s">
        <v>1552</v>
      </c>
      <c r="C477" s="3" t="s">
        <v>1611</v>
      </c>
      <c r="D477" s="4" t="s">
        <v>1644</v>
      </c>
      <c r="E477" s="3"/>
      <c r="F477" s="8">
        <v>46112</v>
      </c>
      <c r="G477" s="19" t="str">
        <f>IF('단어 시험장'!E477="❌","❌","")</f>
        <v/>
      </c>
      <c r="H477" s="23" t="str" cm="1">
        <f t="array" ref="H477">IF(B477="","",IF(COUNTIF($B$2:$B$501,B477)&gt;1,"No."&amp;_xlfn.TEXTJOIN(", ",TRUE,IF(($B$2:$B$501=B477)*(ROW($B$2:$B$501)&lt;&gt;ROW(B477)),""&amp;$A$2:$A$501,"")),""))</f>
        <v/>
      </c>
      <c r="I477" s="10" t="s">
        <v>1507</v>
      </c>
    </row>
    <row r="478" spans="1:9" x14ac:dyDescent="0.4">
      <c r="A478" s="3">
        <v>477</v>
      </c>
      <c r="B478" s="3" t="s">
        <v>1553</v>
      </c>
      <c r="C478" s="3" t="s">
        <v>1612</v>
      </c>
      <c r="D478" s="4" t="s">
        <v>1645</v>
      </c>
      <c r="E478" s="3"/>
      <c r="F478" s="8">
        <v>46112</v>
      </c>
      <c r="G478" s="19" t="str">
        <f>IF('단어 시험장'!E478="❌","❌","")</f>
        <v/>
      </c>
      <c r="H478" s="23" t="str" cm="1">
        <f t="array" ref="H478">IF(B478="","",IF(COUNTIF($B$2:$B$501,B478)&gt;1,"No."&amp;_xlfn.TEXTJOIN(", ",TRUE,IF(($B$2:$B$501=B478)*(ROW($B$2:$B$501)&lt;&gt;ROW(B478)),""&amp;$A$2:$A$501,"")),""))</f>
        <v/>
      </c>
      <c r="I478" s="10" t="s">
        <v>1507</v>
      </c>
    </row>
    <row r="479" spans="1:9" x14ac:dyDescent="0.4">
      <c r="A479" s="3">
        <v>478</v>
      </c>
      <c r="B479" s="3" t="s">
        <v>1554</v>
      </c>
      <c r="C479" s="3" t="s">
        <v>1613</v>
      </c>
      <c r="D479" s="4" t="s">
        <v>1646</v>
      </c>
      <c r="E479" s="3"/>
      <c r="F479" s="8">
        <v>46112</v>
      </c>
      <c r="G479" s="19" t="str">
        <f>IF('단어 시험장'!E479="❌","❌","")</f>
        <v/>
      </c>
      <c r="H479" s="23" t="str" cm="1">
        <f t="array" ref="H479">IF(B479="","",IF(COUNTIF($B$2:$B$501,B479)&gt;1,"No."&amp;_xlfn.TEXTJOIN(", ",TRUE,IF(($B$2:$B$501=B479)*(ROW($B$2:$B$501)&lt;&gt;ROW(B479)),""&amp;$A$2:$A$501,"")),""))</f>
        <v/>
      </c>
      <c r="I479" s="10" t="s">
        <v>1507</v>
      </c>
    </row>
    <row r="480" spans="1:9" x14ac:dyDescent="0.4">
      <c r="A480" s="3">
        <v>479</v>
      </c>
      <c r="B480" s="3" t="s">
        <v>1555</v>
      </c>
      <c r="C480" s="3" t="s">
        <v>1614</v>
      </c>
      <c r="D480" s="4" t="s">
        <v>1647</v>
      </c>
      <c r="E480" s="3"/>
      <c r="F480" s="8">
        <v>46112</v>
      </c>
      <c r="G480" s="19" t="str">
        <f>IF('단어 시험장'!E480="❌","❌","")</f>
        <v/>
      </c>
      <c r="H480" s="23" t="str" cm="1">
        <f t="array" ref="H480">IF(B480="","",IF(COUNTIF($B$2:$B$501,B480)&gt;1,"No."&amp;_xlfn.TEXTJOIN(", ",TRUE,IF(($B$2:$B$501=B480)*(ROW($B$2:$B$501)&lt;&gt;ROW(B480)),""&amp;$A$2:$A$501,"")),""))</f>
        <v/>
      </c>
      <c r="I480" s="10" t="s">
        <v>1507</v>
      </c>
    </row>
    <row r="481" spans="1:9" x14ac:dyDescent="0.4">
      <c r="A481" s="3">
        <v>480</v>
      </c>
      <c r="B481" s="3" t="s">
        <v>1556</v>
      </c>
      <c r="C481" s="3" t="s">
        <v>1616</v>
      </c>
      <c r="D481" s="4" t="s">
        <v>1648</v>
      </c>
      <c r="E481" s="3"/>
      <c r="F481" s="8">
        <v>46112</v>
      </c>
      <c r="G481" s="19" t="str">
        <f>IF('단어 시험장'!E481="❌","❌","")</f>
        <v/>
      </c>
      <c r="H481" s="23" t="str" cm="1">
        <f t="array" ref="H481">IF(B481="","",IF(COUNTIF($B$2:$B$501,B481)&gt;1,"No."&amp;_xlfn.TEXTJOIN(", ",TRUE,IF(($B$2:$B$501=B481)*(ROW($B$2:$B$501)&lt;&gt;ROW(B481)),""&amp;$A$2:$A$501,"")),""))</f>
        <v/>
      </c>
      <c r="I481" s="10" t="s">
        <v>1507</v>
      </c>
    </row>
    <row r="482" spans="1:9" x14ac:dyDescent="0.4">
      <c r="A482" s="3">
        <v>481</v>
      </c>
      <c r="B482" s="3" t="s">
        <v>1557</v>
      </c>
      <c r="C482" s="3" t="s">
        <v>1617</v>
      </c>
      <c r="D482" s="4" t="s">
        <v>1649</v>
      </c>
      <c r="E482" s="3"/>
      <c r="F482" s="8">
        <v>46112</v>
      </c>
      <c r="G482" s="19" t="str">
        <f>IF('단어 시험장'!E482="❌","❌","")</f>
        <v/>
      </c>
      <c r="H482" s="23" t="str" cm="1">
        <f t="array" ref="H482">IF(B482="","",IF(COUNTIF($B$2:$B$501,B482)&gt;1,"No."&amp;_xlfn.TEXTJOIN(", ",TRUE,IF(($B$2:$B$501=B482)*(ROW($B$2:$B$501)&lt;&gt;ROW(B482)),""&amp;$A$2:$A$501,"")),""))</f>
        <v/>
      </c>
      <c r="I482" s="10" t="s">
        <v>1507</v>
      </c>
    </row>
    <row r="483" spans="1:9" x14ac:dyDescent="0.4">
      <c r="A483" s="3">
        <v>482</v>
      </c>
      <c r="B483" s="3" t="s">
        <v>1558</v>
      </c>
      <c r="C483" s="3" t="s">
        <v>1618</v>
      </c>
      <c r="D483" s="4" t="s">
        <v>1650</v>
      </c>
      <c r="E483" s="3"/>
      <c r="F483" s="8">
        <v>46112</v>
      </c>
      <c r="G483" s="19" t="str">
        <f>IF('단어 시험장'!E483="❌","❌","")</f>
        <v/>
      </c>
      <c r="H483" s="23" t="str" cm="1">
        <f t="array" ref="H483">IF(B483="","",IF(COUNTIF($B$2:$B$501,B483)&gt;1,"No."&amp;_xlfn.TEXTJOIN(", ",TRUE,IF(($B$2:$B$501=B483)*(ROW($B$2:$B$501)&lt;&gt;ROW(B483)),""&amp;$A$2:$A$501,"")),""))</f>
        <v/>
      </c>
      <c r="I483" s="10" t="s">
        <v>1507</v>
      </c>
    </row>
    <row r="484" spans="1:9" x14ac:dyDescent="0.4">
      <c r="A484" s="3">
        <v>483</v>
      </c>
      <c r="B484" s="3" t="s">
        <v>1559</v>
      </c>
      <c r="C484" s="3" t="s">
        <v>1619</v>
      </c>
      <c r="D484" s="4" t="s">
        <v>1651</v>
      </c>
      <c r="E484" s="3"/>
      <c r="F484" s="8">
        <v>46112</v>
      </c>
      <c r="G484" s="19" t="str">
        <f>IF('단어 시험장'!E484="❌","❌","")</f>
        <v/>
      </c>
      <c r="H484" s="23" t="str" cm="1">
        <f t="array" ref="H484">IF(B484="","",IF(COUNTIF($B$2:$B$501,B484)&gt;1,"No."&amp;_xlfn.TEXTJOIN(", ",TRUE,IF(($B$2:$B$501=B484)*(ROW($B$2:$B$501)&lt;&gt;ROW(B484)),""&amp;$A$2:$A$501,"")),""))</f>
        <v/>
      </c>
      <c r="I484" s="10" t="s">
        <v>1507</v>
      </c>
    </row>
    <row r="485" spans="1:9" x14ac:dyDescent="0.4">
      <c r="A485" s="3">
        <v>484</v>
      </c>
      <c r="B485" s="3" t="s">
        <v>1560</v>
      </c>
      <c r="C485" s="3" t="s">
        <v>1614</v>
      </c>
      <c r="D485" s="4" t="s">
        <v>1652</v>
      </c>
      <c r="E485" s="3"/>
      <c r="F485" s="8">
        <v>46112</v>
      </c>
      <c r="G485" s="19" t="str">
        <f>IF('단어 시험장'!E485="❌","❌","")</f>
        <v/>
      </c>
      <c r="H485" s="23" t="str" cm="1">
        <f t="array" ref="H485">IF(B485="","",IF(COUNTIF($B$2:$B$501,B485)&gt;1,"No."&amp;_xlfn.TEXTJOIN(", ",TRUE,IF(($B$2:$B$501=B485)*(ROW($B$2:$B$501)&lt;&gt;ROW(B485)),""&amp;$A$2:$A$501,"")),""))</f>
        <v/>
      </c>
      <c r="I485" s="10" t="s">
        <v>1507</v>
      </c>
    </row>
    <row r="486" spans="1:9" x14ac:dyDescent="0.4">
      <c r="A486" s="3">
        <v>485</v>
      </c>
      <c r="B486" s="3" t="s">
        <v>1561</v>
      </c>
      <c r="C486" s="3" t="s">
        <v>1620</v>
      </c>
      <c r="D486" s="4" t="s">
        <v>1653</v>
      </c>
      <c r="E486" s="3"/>
      <c r="F486" s="8">
        <v>46112</v>
      </c>
      <c r="G486" s="19" t="str">
        <f>IF('단어 시험장'!E486="❌","❌","")</f>
        <v/>
      </c>
      <c r="H486" s="23" t="str" cm="1">
        <f t="array" ref="H486">IF(B486="","",IF(COUNTIF($B$2:$B$501,B486)&gt;1,"No."&amp;_xlfn.TEXTJOIN(", ",TRUE,IF(($B$2:$B$501=B486)*(ROW($B$2:$B$501)&lt;&gt;ROW(B486)),""&amp;$A$2:$A$501,"")),""))</f>
        <v/>
      </c>
      <c r="I486" s="10" t="s">
        <v>1507</v>
      </c>
    </row>
    <row r="487" spans="1:9" x14ac:dyDescent="0.4">
      <c r="A487" s="3">
        <v>486</v>
      </c>
      <c r="B487" s="3" t="s">
        <v>1562</v>
      </c>
      <c r="C487" s="3" t="s">
        <v>1621</v>
      </c>
      <c r="D487" s="4" t="s">
        <v>1654</v>
      </c>
      <c r="E487" s="3"/>
      <c r="F487" s="8">
        <v>46112</v>
      </c>
      <c r="G487" s="19" t="str">
        <f>IF('단어 시험장'!E487="❌","❌","")</f>
        <v/>
      </c>
      <c r="H487" s="23" t="str" cm="1">
        <f t="array" ref="H487">IF(B487="","",IF(COUNTIF($B$2:$B$501,B487)&gt;1,"No."&amp;_xlfn.TEXTJOIN(", ",TRUE,IF(($B$2:$B$501=B487)*(ROW($B$2:$B$501)&lt;&gt;ROW(B487)),""&amp;$A$2:$A$501,"")),""))</f>
        <v/>
      </c>
      <c r="I487" s="10" t="s">
        <v>1507</v>
      </c>
    </row>
    <row r="488" spans="1:9" x14ac:dyDescent="0.4">
      <c r="A488" s="3">
        <v>487</v>
      </c>
      <c r="B488" s="3" t="s">
        <v>1563</v>
      </c>
      <c r="C488" s="3" t="s">
        <v>1624</v>
      </c>
      <c r="D488" s="4" t="s">
        <v>1655</v>
      </c>
      <c r="E488" s="3"/>
      <c r="F488" s="8">
        <v>46112</v>
      </c>
      <c r="G488" s="19" t="str">
        <f>IF('단어 시험장'!E488="❌","❌","")</f>
        <v/>
      </c>
      <c r="H488" s="23" t="str" cm="1">
        <f t="array" ref="H488">IF(B488="","",IF(COUNTIF($B$2:$B$501,B488)&gt;1,"No."&amp;_xlfn.TEXTJOIN(", ",TRUE,IF(($B$2:$B$501=B488)*(ROW($B$2:$B$501)&lt;&gt;ROW(B488)),""&amp;$A$2:$A$501,"")),""))</f>
        <v/>
      </c>
      <c r="I488" s="10" t="s">
        <v>1507</v>
      </c>
    </row>
    <row r="489" spans="1:9" x14ac:dyDescent="0.4">
      <c r="A489" s="3">
        <v>488</v>
      </c>
      <c r="B489" s="3" t="s">
        <v>1564</v>
      </c>
      <c r="C489" s="3" t="s">
        <v>1624</v>
      </c>
      <c r="D489" s="4" t="s">
        <v>1656</v>
      </c>
      <c r="E489" s="3"/>
      <c r="F489" s="8">
        <v>46112</v>
      </c>
      <c r="G489" s="19" t="str">
        <f>IF('단어 시험장'!E489="❌","❌","")</f>
        <v/>
      </c>
      <c r="H489" s="23" t="str" cm="1">
        <f t="array" ref="H489">IF(B489="","",IF(COUNTIF($B$2:$B$501,B489)&gt;1,"No."&amp;_xlfn.TEXTJOIN(", ",TRUE,IF(($B$2:$B$501=B489)*(ROW($B$2:$B$501)&lt;&gt;ROW(B489)),""&amp;$A$2:$A$501,"")),""))</f>
        <v/>
      </c>
      <c r="I489" s="10" t="s">
        <v>1507</v>
      </c>
    </row>
    <row r="490" spans="1:9" x14ac:dyDescent="0.4">
      <c r="A490" s="3">
        <v>489</v>
      </c>
      <c r="B490" s="3" t="s">
        <v>1574</v>
      </c>
      <c r="C490" s="3" t="s">
        <v>1575</v>
      </c>
      <c r="D490" s="4" t="s">
        <v>1657</v>
      </c>
      <c r="E490" s="3"/>
      <c r="F490" s="8">
        <v>46112</v>
      </c>
      <c r="G490" s="19" t="str">
        <f>IF('단어 시험장'!E490="❌","❌","")</f>
        <v/>
      </c>
      <c r="H490" s="23" t="str" cm="1">
        <f t="array" ref="H490">IF(B490="","",IF(COUNTIF($B$2:$B$501,B490)&gt;1,"No."&amp;_xlfn.TEXTJOIN(", ",TRUE,IF(($B$2:$B$501=B490)*(ROW($B$2:$B$501)&lt;&gt;ROW(B490)),""&amp;$A$2:$A$501,"")),""))</f>
        <v/>
      </c>
      <c r="I490" s="10" t="s">
        <v>1507</v>
      </c>
    </row>
    <row r="491" spans="1:9" x14ac:dyDescent="0.4">
      <c r="A491" s="3">
        <v>490</v>
      </c>
      <c r="B491" s="3" t="s">
        <v>1602</v>
      </c>
      <c r="C491" s="3" t="s">
        <v>1603</v>
      </c>
      <c r="D491" s="4" t="s">
        <v>1658</v>
      </c>
      <c r="E491" s="3"/>
      <c r="F491" s="8">
        <v>46112</v>
      </c>
      <c r="G491" s="19" t="str">
        <f>IF('단어 시험장'!E491="❌","❌","")</f>
        <v/>
      </c>
      <c r="H491" s="23" t="str" cm="1">
        <f t="array" ref="H491">IF(B491="","",IF(COUNTIF($B$2:$B$501,B491)&gt;1,"No."&amp;_xlfn.TEXTJOIN(", ",TRUE,IF(($B$2:$B$501=B491)*(ROW($B$2:$B$501)&lt;&gt;ROW(B491)),""&amp;$A$2:$A$501,"")),""))</f>
        <v/>
      </c>
      <c r="I491" s="10" t="s">
        <v>1507</v>
      </c>
    </row>
    <row r="492" spans="1:9" x14ac:dyDescent="0.4">
      <c r="A492" s="3">
        <v>491</v>
      </c>
      <c r="B492" s="3" t="s">
        <v>1606</v>
      </c>
      <c r="C492" s="3" t="s">
        <v>1607</v>
      </c>
      <c r="D492" s="4" t="s">
        <v>1659</v>
      </c>
      <c r="E492" s="3"/>
      <c r="F492" s="8">
        <v>46112</v>
      </c>
      <c r="G492" s="19" t="str">
        <f>IF('단어 시험장'!E492="❌","❌","")</f>
        <v/>
      </c>
      <c r="H492" s="23" t="str" cm="1">
        <f t="array" ref="H492">IF(B492="","",IF(COUNTIF($B$2:$B$501,B492)&gt;1,"No."&amp;_xlfn.TEXTJOIN(", ",TRUE,IF(($B$2:$B$501=B492)*(ROW($B$2:$B$501)&lt;&gt;ROW(B492)),""&amp;$A$2:$A$501,"")),""))</f>
        <v/>
      </c>
      <c r="I492" s="10" t="s">
        <v>1507</v>
      </c>
    </row>
    <row r="493" spans="1:9" x14ac:dyDescent="0.4">
      <c r="A493" s="3">
        <v>492</v>
      </c>
      <c r="B493" s="3" t="s">
        <v>1615</v>
      </c>
      <c r="C493" s="3" t="s">
        <v>1672</v>
      </c>
      <c r="D493" s="4" t="s">
        <v>1660</v>
      </c>
      <c r="E493" s="3"/>
      <c r="F493" s="8">
        <v>46112</v>
      </c>
      <c r="G493" s="19" t="str">
        <f>IF('단어 시험장'!E493="❌","❌","")</f>
        <v/>
      </c>
      <c r="H493" s="23" t="str" cm="1">
        <f t="array" ref="H493">IF(B493="","",IF(COUNTIF($B$2:$B$501,B493)&gt;1,"No."&amp;_xlfn.TEXTJOIN(", ",TRUE,IF(($B$2:$B$501=B493)*(ROW($B$2:$B$501)&lt;&gt;ROW(B493)),""&amp;$A$2:$A$501,"")),""))</f>
        <v/>
      </c>
      <c r="I493" s="10" t="s">
        <v>1507</v>
      </c>
    </row>
    <row r="494" spans="1:9" x14ac:dyDescent="0.4">
      <c r="A494" s="3">
        <v>493</v>
      </c>
      <c r="B494" s="3" t="s">
        <v>1622</v>
      </c>
      <c r="C494" s="3" t="s">
        <v>1623</v>
      </c>
      <c r="D494" s="4" t="s">
        <v>1661</v>
      </c>
      <c r="E494" s="3"/>
      <c r="F494" s="8">
        <v>46112</v>
      </c>
      <c r="G494" s="19" t="str">
        <f>IF('단어 시험장'!E494="❌","❌","")</f>
        <v/>
      </c>
      <c r="H494" s="23" t="str" cm="1">
        <f t="array" ref="H494">IF(B494="","",IF(COUNTIF($B$2:$B$501,B494)&gt;1,"No."&amp;_xlfn.TEXTJOIN(", ",TRUE,IF(($B$2:$B$501=B494)*(ROW($B$2:$B$501)&lt;&gt;ROW(B494)),""&amp;$A$2:$A$501,"")),""))</f>
        <v/>
      </c>
      <c r="I494" s="10" t="s">
        <v>1507</v>
      </c>
    </row>
    <row r="495" spans="1:9" x14ac:dyDescent="0.4">
      <c r="A495" s="6">
        <v>494</v>
      </c>
      <c r="B495" s="6" t="s">
        <v>1504</v>
      </c>
      <c r="C495" s="6" t="s">
        <v>1505</v>
      </c>
      <c r="D495" s="7"/>
      <c r="E495" s="6"/>
      <c r="F495" s="8">
        <v>46112</v>
      </c>
      <c r="G495" s="32" t="str">
        <f>IF('단어 시험장'!E495="❌","❌","")</f>
        <v/>
      </c>
      <c r="H495" s="33" t="str" cm="1">
        <f t="array" ref="H495">IF(B495="","",IF(COUNTIF($B$2:$B$501,B495)&gt;1,"No."&amp;_xlfn.TEXTJOIN(", ",TRUE,IF(($B$2:$B$501=B495)*(ROW($B$2:$B$501)&lt;&gt;ROW(B495)),""&amp;$A$2:$A$501,"")),""))</f>
        <v>No.431</v>
      </c>
      <c r="I495" s="34" t="s">
        <v>1433</v>
      </c>
    </row>
    <row r="496" spans="1:9" x14ac:dyDescent="0.4">
      <c r="A496" s="29">
        <v>495</v>
      </c>
      <c r="B496" s="29" t="s">
        <v>1673</v>
      </c>
      <c r="C496" s="29" t="s">
        <v>1674</v>
      </c>
      <c r="D496" s="30"/>
      <c r="E496" s="29"/>
      <c r="F496" s="31">
        <v>46118</v>
      </c>
      <c r="G496" s="29" t="str">
        <f>IF('단어 시험장'!E496="❌","❌","")</f>
        <v/>
      </c>
      <c r="H496" s="35" t="str" cm="1">
        <f t="array" ref="H496">IF(B496="","",IF(COUNTIF($B$2:$B$501,B496)&gt;1,"No."&amp;_xlfn.TEXTJOIN(", ",TRUE,IF(($B$2:$B$501=B496)*(ROW($B$2:$B$501)&lt;&gt;ROW(B496)),""&amp;$A$2:$A$501,"")),""))</f>
        <v/>
      </c>
      <c r="I496" s="29" t="s">
        <v>1671</v>
      </c>
    </row>
    <row r="497" spans="1:9" x14ac:dyDescent="0.4">
      <c r="A497" s="29">
        <v>496</v>
      </c>
      <c r="B497" s="29" t="s">
        <v>1675</v>
      </c>
      <c r="C497" s="29" t="s">
        <v>1744</v>
      </c>
      <c r="D497" s="30"/>
      <c r="E497" s="29"/>
      <c r="F497" s="31">
        <v>46118</v>
      </c>
      <c r="G497" s="29" t="str">
        <f>IF('단어 시험장'!E497="❌","❌","")</f>
        <v/>
      </c>
      <c r="H497" s="35" t="str" cm="1">
        <f t="array" ref="H497">IF(B497="","",IF(COUNTIF($B$2:$B$501,B497)&gt;1,"No."&amp;_xlfn.TEXTJOIN(", ",TRUE,IF(($B$2:$B$501=B497)*(ROW($B$2:$B$501)&lt;&gt;ROW(B497)),""&amp;$A$2:$A$501,"")),""))</f>
        <v/>
      </c>
      <c r="I497" s="29" t="s">
        <v>1671</v>
      </c>
    </row>
    <row r="498" spans="1:9" x14ac:dyDescent="0.4">
      <c r="A498" s="29">
        <v>497</v>
      </c>
      <c r="B498" s="29" t="s">
        <v>1676</v>
      </c>
      <c r="C498" s="29" t="s">
        <v>1745</v>
      </c>
      <c r="D498" s="30"/>
      <c r="E498" s="29"/>
      <c r="F498" s="31">
        <v>46118</v>
      </c>
      <c r="G498" s="29" t="str">
        <f>IF('단어 시험장'!E498="❌","❌","")</f>
        <v/>
      </c>
      <c r="H498" s="35" t="str" cm="1">
        <f t="array" ref="H498">IF(B498="","",IF(COUNTIF($B$2:$B$501,B498)&gt;1,"No."&amp;_xlfn.TEXTJOIN(", ",TRUE,IF(($B$2:$B$501=B498)*(ROW($B$2:$B$501)&lt;&gt;ROW(B498)),""&amp;$A$2:$A$501,"")),""))</f>
        <v/>
      </c>
      <c r="I498" s="29" t="s">
        <v>1671</v>
      </c>
    </row>
    <row r="499" spans="1:9" x14ac:dyDescent="0.4">
      <c r="A499" s="29">
        <v>498</v>
      </c>
      <c r="B499" s="29" t="s">
        <v>1677</v>
      </c>
      <c r="C499" s="29" t="s">
        <v>1746</v>
      </c>
      <c r="D499" s="30"/>
      <c r="E499" s="29"/>
      <c r="F499" s="31">
        <v>46118</v>
      </c>
      <c r="G499" s="29" t="str">
        <f>IF('단어 시험장'!E499="❌","❌","")</f>
        <v/>
      </c>
      <c r="H499" s="35" t="str" cm="1">
        <f t="array" ref="H499">IF(B499="","",IF(COUNTIF($B$2:$B$501,B499)&gt;1,"No."&amp;_xlfn.TEXTJOIN(", ",TRUE,IF(($B$2:$B$501=B499)*(ROW($B$2:$B$501)&lt;&gt;ROW(B499)),""&amp;$A$2:$A$501,"")),""))</f>
        <v/>
      </c>
      <c r="I499" s="29" t="s">
        <v>1671</v>
      </c>
    </row>
    <row r="500" spans="1:9" x14ac:dyDescent="0.4">
      <c r="A500" s="29">
        <v>499</v>
      </c>
      <c r="B500" s="29" t="s">
        <v>1678</v>
      </c>
      <c r="C500" s="29" t="s">
        <v>1747</v>
      </c>
      <c r="D500" s="30"/>
      <c r="E500" s="29"/>
      <c r="F500" s="31">
        <v>46118</v>
      </c>
      <c r="G500" s="29" t="str">
        <f>IF('단어 시험장'!E500="❌","❌","")</f>
        <v/>
      </c>
      <c r="H500" s="35" t="str" cm="1">
        <f t="array" ref="H500">IF(B500="","",IF(COUNTIF($B$2:$B$501,B500)&gt;1,"No."&amp;_xlfn.TEXTJOIN(", ",TRUE,IF(($B$2:$B$501=B500)*(ROW($B$2:$B$501)&lt;&gt;ROW(B500)),""&amp;$A$2:$A$501,"")),""))</f>
        <v/>
      </c>
      <c r="I500" s="29" t="s">
        <v>1671</v>
      </c>
    </row>
    <row r="501" spans="1:9" x14ac:dyDescent="0.4">
      <c r="A501" s="29">
        <v>500</v>
      </c>
      <c r="B501" s="29" t="s">
        <v>1679</v>
      </c>
      <c r="C501" s="29" t="s">
        <v>1748</v>
      </c>
      <c r="D501" s="30"/>
      <c r="E501" s="29"/>
      <c r="F501" s="31">
        <v>46118</v>
      </c>
      <c r="G501" s="29" t="str">
        <f>IF('단어 시험장'!E501="❌","❌","")</f>
        <v/>
      </c>
      <c r="H501" s="35" t="str" cm="1">
        <f t="array" ref="H501">IF(B501="","",IF(COUNTIF($B$2:$B$501,B501)&gt;1,"No."&amp;_xlfn.TEXTJOIN(", ",TRUE,IF(($B$2:$B$501=B501)*(ROW($B$2:$B$501)&lt;&gt;ROW(B501)),""&amp;$A$2:$A$501,"")),""))</f>
        <v/>
      </c>
      <c r="I501" s="29" t="s">
        <v>1671</v>
      </c>
    </row>
    <row r="502" spans="1:9" x14ac:dyDescent="0.4">
      <c r="A502" s="29">
        <v>501</v>
      </c>
      <c r="B502" s="29" t="s">
        <v>1680</v>
      </c>
      <c r="C502" s="29" t="s">
        <v>1749</v>
      </c>
      <c r="D502" s="30"/>
      <c r="E502" s="29"/>
      <c r="F502" s="31">
        <v>46118</v>
      </c>
      <c r="G502" s="29" t="str">
        <f>IF('단어 시험장'!E502="❌","❌","")</f>
        <v/>
      </c>
      <c r="H502" s="35" t="str" cm="1">
        <f t="array" ref="H502">IF(B502="","",IF(COUNTIF($B$2:$B$501,B502)&gt;1,"No."&amp;_xlfn.TEXTJOIN(", ",TRUE,IF(($B$2:$B$501=B502)*(ROW($B$2:$B$501)&lt;&gt;ROW(B502)),""&amp;$A$2:$A$501,"")),""))</f>
        <v/>
      </c>
      <c r="I502" s="29" t="s">
        <v>1671</v>
      </c>
    </row>
    <row r="503" spans="1:9" x14ac:dyDescent="0.4">
      <c r="A503" s="29">
        <v>502</v>
      </c>
      <c r="B503" s="29" t="s">
        <v>1681</v>
      </c>
      <c r="C503" s="29" t="s">
        <v>1692</v>
      </c>
      <c r="D503" s="30"/>
      <c r="E503" s="29"/>
      <c r="F503" s="31">
        <v>46118</v>
      </c>
      <c r="G503" s="29" t="str">
        <f>IF('단어 시험장'!E503="❌","❌","")</f>
        <v/>
      </c>
      <c r="H503" s="35" t="str" cm="1">
        <f t="array" ref="H503">IF(B503="","",IF(COUNTIF($B$2:$B$501,B503)&gt;1,"No."&amp;_xlfn.TEXTJOIN(", ",TRUE,IF(($B$2:$B$501=B503)*(ROW($B$2:$B$501)&lt;&gt;ROW(B503)),""&amp;$A$2:$A$501,"")),""))</f>
        <v/>
      </c>
      <c r="I503" s="29" t="s">
        <v>1671</v>
      </c>
    </row>
    <row r="504" spans="1:9" x14ac:dyDescent="0.4">
      <c r="A504" s="29">
        <v>503</v>
      </c>
      <c r="B504" s="29" t="s">
        <v>1682</v>
      </c>
      <c r="C504" s="29" t="s">
        <v>1750</v>
      </c>
      <c r="D504" s="30"/>
      <c r="E504" s="29"/>
      <c r="F504" s="31">
        <v>46118</v>
      </c>
      <c r="G504" s="29" t="str">
        <f>IF('단어 시험장'!E504="❌","❌","")</f>
        <v/>
      </c>
      <c r="H504" s="35" t="str" cm="1">
        <f t="array" ref="H504">IF(B504="","",IF(COUNTIF($B$2:$B$501,B504)&gt;1,"No."&amp;_xlfn.TEXTJOIN(", ",TRUE,IF(($B$2:$B$501=B504)*(ROW($B$2:$B$501)&lt;&gt;ROW(B504)),""&amp;$A$2:$A$501,"")),""))</f>
        <v/>
      </c>
      <c r="I504" s="29" t="s">
        <v>1671</v>
      </c>
    </row>
    <row r="505" spans="1:9" x14ac:dyDescent="0.4">
      <c r="A505" s="29">
        <v>504</v>
      </c>
      <c r="B505" s="29" t="s">
        <v>1683</v>
      </c>
      <c r="C505" s="29" t="s">
        <v>1751</v>
      </c>
      <c r="D505" s="30"/>
      <c r="E505" s="29"/>
      <c r="F505" s="31">
        <v>46118</v>
      </c>
      <c r="G505" s="29" t="str">
        <f>IF('단어 시험장'!E505="❌","❌","")</f>
        <v/>
      </c>
      <c r="H505" s="35" t="str" cm="1">
        <f t="array" ref="H505">IF(B505="","",IF(COUNTIF($B$2:$B$501,B505)&gt;1,"No."&amp;_xlfn.TEXTJOIN(", ",TRUE,IF(($B$2:$B$501=B505)*(ROW($B$2:$B$501)&lt;&gt;ROW(B505)),""&amp;$A$2:$A$501,"")),""))</f>
        <v/>
      </c>
      <c r="I505" s="29" t="s">
        <v>1671</v>
      </c>
    </row>
    <row r="506" spans="1:9" x14ac:dyDescent="0.4">
      <c r="A506" s="29">
        <v>505</v>
      </c>
      <c r="B506" s="29" t="s">
        <v>1684</v>
      </c>
      <c r="C506" s="29" t="s">
        <v>1752</v>
      </c>
      <c r="D506" s="30"/>
      <c r="E506" s="29"/>
      <c r="F506" s="31">
        <v>46118</v>
      </c>
      <c r="G506" s="29" t="str">
        <f>IF('단어 시험장'!E506="❌","❌","")</f>
        <v/>
      </c>
      <c r="H506" s="35" t="str" cm="1">
        <f t="array" ref="H506">IF(B506="","",IF(COUNTIF($B$2:$B$501,B506)&gt;1,"No."&amp;_xlfn.TEXTJOIN(", ",TRUE,IF(($B$2:$B$501=B506)*(ROW($B$2:$B$501)&lt;&gt;ROW(B506)),""&amp;$A$2:$A$501,"")),""))</f>
        <v/>
      </c>
      <c r="I506" s="29" t="s">
        <v>1671</v>
      </c>
    </row>
    <row r="507" spans="1:9" x14ac:dyDescent="0.4">
      <c r="A507" s="29">
        <v>506</v>
      </c>
      <c r="B507" s="29" t="s">
        <v>1685</v>
      </c>
      <c r="C507" s="29" t="s">
        <v>1752</v>
      </c>
      <c r="D507" s="30"/>
      <c r="E507" s="29"/>
      <c r="F507" s="31">
        <v>46118</v>
      </c>
      <c r="G507" s="29" t="str">
        <f>IF('단어 시험장'!E507="❌","❌","")</f>
        <v/>
      </c>
      <c r="H507" s="35" t="str" cm="1">
        <f t="array" ref="H507">IF(B507="","",IF(COUNTIF($B$2:$B$501,B507)&gt;1,"No."&amp;_xlfn.TEXTJOIN(", ",TRUE,IF(($B$2:$B$501=B507)*(ROW($B$2:$B$501)&lt;&gt;ROW(B507)),""&amp;$A$2:$A$501,"")),""))</f>
        <v/>
      </c>
      <c r="I507" s="29" t="s">
        <v>1671</v>
      </c>
    </row>
    <row r="508" spans="1:9" x14ac:dyDescent="0.4">
      <c r="A508" s="29">
        <v>507</v>
      </c>
      <c r="B508" s="29" t="s">
        <v>1686</v>
      </c>
      <c r="C508" s="29" t="s">
        <v>1752</v>
      </c>
      <c r="D508" s="30"/>
      <c r="E508" s="29"/>
      <c r="F508" s="31">
        <v>46118</v>
      </c>
      <c r="G508" s="29" t="str">
        <f>IF('단어 시험장'!E508="❌","❌","")</f>
        <v/>
      </c>
      <c r="H508" s="35" t="str" cm="1">
        <f t="array" ref="H508">IF(B508="","",IF(COUNTIF($B$2:$B$501,B508)&gt;1,"No."&amp;_xlfn.TEXTJOIN(", ",TRUE,IF(($B$2:$B$501=B508)*(ROW($B$2:$B$501)&lt;&gt;ROW(B508)),""&amp;$A$2:$A$501,"")),""))</f>
        <v/>
      </c>
      <c r="I508" s="29" t="s">
        <v>1671</v>
      </c>
    </row>
    <row r="509" spans="1:9" x14ac:dyDescent="0.4">
      <c r="A509" s="29">
        <v>508</v>
      </c>
      <c r="B509" s="29" t="s">
        <v>1687</v>
      </c>
      <c r="C509" s="29" t="s">
        <v>1756</v>
      </c>
      <c r="D509" s="30"/>
      <c r="E509" s="29"/>
      <c r="F509" s="31">
        <v>46118</v>
      </c>
      <c r="G509" s="29" t="str">
        <f>IF('단어 시험장'!E509="❌","❌","")</f>
        <v/>
      </c>
      <c r="H509" s="35" t="str" cm="1">
        <f t="array" ref="H509">IF(B509="","",IF(COUNTIF($B$2:$B$501,B509)&gt;1,"No."&amp;_xlfn.TEXTJOIN(", ",TRUE,IF(($B$2:$B$501=B509)*(ROW($B$2:$B$501)&lt;&gt;ROW(B509)),""&amp;$A$2:$A$501,"")),""))</f>
        <v/>
      </c>
      <c r="I509" s="29" t="s">
        <v>1671</v>
      </c>
    </row>
    <row r="510" spans="1:9" x14ac:dyDescent="0.4">
      <c r="A510" s="29">
        <v>509</v>
      </c>
      <c r="B510" s="29" t="s">
        <v>1688</v>
      </c>
      <c r="C510" s="29" t="s">
        <v>1757</v>
      </c>
      <c r="D510" s="30"/>
      <c r="E510" s="29"/>
      <c r="F510" s="31">
        <v>46118</v>
      </c>
      <c r="G510" s="29" t="str">
        <f>IF('단어 시험장'!E510="❌","❌","")</f>
        <v/>
      </c>
      <c r="H510" s="35" t="str" cm="1">
        <f t="array" ref="H510">IF(B510="","",IF(COUNTIF($B$2:$B$501,B510)&gt;1,"No."&amp;_xlfn.TEXTJOIN(", ",TRUE,IF(($B$2:$B$501=B510)*(ROW($B$2:$B$501)&lt;&gt;ROW(B510)),""&amp;$A$2:$A$501,"")),""))</f>
        <v/>
      </c>
      <c r="I510" s="29" t="s">
        <v>1671</v>
      </c>
    </row>
    <row r="511" spans="1:9" x14ac:dyDescent="0.4">
      <c r="A511" s="29">
        <v>510</v>
      </c>
      <c r="B511" s="29" t="s">
        <v>1689</v>
      </c>
      <c r="C511" s="29" t="s">
        <v>1758</v>
      </c>
      <c r="D511" s="30"/>
      <c r="E511" s="29"/>
      <c r="F511" s="31">
        <v>46118</v>
      </c>
      <c r="G511" s="29" t="str">
        <f>IF('단어 시험장'!E511="❌","❌","")</f>
        <v/>
      </c>
      <c r="H511" s="35" t="str" cm="1">
        <f t="array" ref="H511">IF(B511="","",IF(COUNTIF($B$2:$B$501,B511)&gt;1,"No."&amp;_xlfn.TEXTJOIN(", ",TRUE,IF(($B$2:$B$501=B511)*(ROW($B$2:$B$501)&lt;&gt;ROW(B511)),""&amp;$A$2:$A$501,"")),""))</f>
        <v/>
      </c>
      <c r="I511" s="29" t="s">
        <v>1671</v>
      </c>
    </row>
    <row r="512" spans="1:9" x14ac:dyDescent="0.4">
      <c r="A512" s="29">
        <v>511</v>
      </c>
      <c r="B512" s="29" t="s">
        <v>1690</v>
      </c>
      <c r="C512" s="29" t="s">
        <v>1760</v>
      </c>
      <c r="D512" s="30"/>
      <c r="E512" s="29"/>
      <c r="F512" s="31">
        <v>46118</v>
      </c>
      <c r="G512" s="29" t="str">
        <f>IF('단어 시험장'!E512="❌","❌","")</f>
        <v/>
      </c>
      <c r="H512" s="35" t="str" cm="1">
        <f t="array" ref="H512">IF(B512="","",IF(COUNTIF($B$2:$B$501,B512)&gt;1,"No."&amp;_xlfn.TEXTJOIN(", ",TRUE,IF(($B$2:$B$501=B512)*(ROW($B$2:$B$501)&lt;&gt;ROW(B512)),""&amp;$A$2:$A$501,"")),""))</f>
        <v/>
      </c>
      <c r="I512" s="29" t="s">
        <v>1671</v>
      </c>
    </row>
    <row r="513" spans="1:9" x14ac:dyDescent="0.4">
      <c r="A513" s="29">
        <v>512</v>
      </c>
      <c r="B513" s="29" t="s">
        <v>1691</v>
      </c>
      <c r="C513" s="29" t="s">
        <v>1759</v>
      </c>
      <c r="D513" s="30"/>
      <c r="E513" s="29"/>
      <c r="F513" s="31">
        <v>46118</v>
      </c>
      <c r="G513" s="29" t="str">
        <f>IF('단어 시험장'!E513="❌","❌","")</f>
        <v/>
      </c>
      <c r="H513" s="35" t="str" cm="1">
        <f t="array" ref="H513">IF(B513="","",IF(COUNTIF($B$2:$B$501,B513)&gt;1,"No."&amp;_xlfn.TEXTJOIN(", ",TRUE,IF(($B$2:$B$501=B513)*(ROW($B$2:$B$501)&lt;&gt;ROW(B513)),""&amp;$A$2:$A$501,"")),""))</f>
        <v/>
      </c>
      <c r="I513" s="29" t="s">
        <v>1671</v>
      </c>
    </row>
    <row r="514" spans="1:9" x14ac:dyDescent="0.4">
      <c r="A514" s="29">
        <v>513</v>
      </c>
      <c r="B514" s="29" t="s">
        <v>1693</v>
      </c>
      <c r="C514" s="29" t="s">
        <v>1761</v>
      </c>
      <c r="D514" s="30"/>
      <c r="E514" s="29"/>
      <c r="F514" s="31">
        <v>46118</v>
      </c>
      <c r="G514" s="29" t="str">
        <f>IF('단어 시험장'!E514="❌","❌","")</f>
        <v/>
      </c>
      <c r="H514" s="35" t="str" cm="1">
        <f t="array" ref="H514">IF(B514="","",IF(COUNTIF($B$2:$B$501,B514)&gt;1,"No."&amp;_xlfn.TEXTJOIN(", ",TRUE,IF(($B$2:$B$501=B514)*(ROW($B$2:$B$501)&lt;&gt;ROW(B514)),""&amp;$A$2:$A$501,"")),""))</f>
        <v/>
      </c>
      <c r="I514" s="29" t="s">
        <v>1671</v>
      </c>
    </row>
    <row r="515" spans="1:9" x14ac:dyDescent="0.4">
      <c r="A515" s="29">
        <v>514</v>
      </c>
      <c r="B515" s="29" t="s">
        <v>1694</v>
      </c>
      <c r="C515" s="29" t="s">
        <v>1762</v>
      </c>
      <c r="D515" s="30"/>
      <c r="E515" s="29"/>
      <c r="F515" s="31">
        <v>46118</v>
      </c>
      <c r="G515" s="29" t="str">
        <f>IF('단어 시험장'!E515="❌","❌","")</f>
        <v/>
      </c>
      <c r="H515" s="35" t="str" cm="1">
        <f t="array" ref="H515">IF(B515="","",IF(COUNTIF($B$2:$B$501,B515)&gt;1,"No."&amp;_xlfn.TEXTJOIN(", ",TRUE,IF(($B$2:$B$501=B515)*(ROW($B$2:$B$501)&lt;&gt;ROW(B515)),""&amp;$A$2:$A$501,"")),""))</f>
        <v/>
      </c>
      <c r="I515" s="29" t="s">
        <v>1671</v>
      </c>
    </row>
    <row r="516" spans="1:9" x14ac:dyDescent="0.4">
      <c r="A516" s="29">
        <v>515</v>
      </c>
      <c r="B516" s="29" t="s">
        <v>1695</v>
      </c>
      <c r="C516" s="29" t="s">
        <v>1763</v>
      </c>
      <c r="D516" s="30"/>
      <c r="E516" s="29"/>
      <c r="F516" s="31">
        <v>46118</v>
      </c>
      <c r="G516" s="29" t="str">
        <f>IF('단어 시험장'!E516="❌","❌","")</f>
        <v/>
      </c>
      <c r="H516" s="35" t="str" cm="1">
        <f t="array" ref="H516">IF(B516="","",IF(COUNTIF($B$2:$B$501,B516)&gt;1,"No."&amp;_xlfn.TEXTJOIN(", ",TRUE,IF(($B$2:$B$501=B516)*(ROW($B$2:$B$501)&lt;&gt;ROW(B516)),""&amp;$A$2:$A$501,"")),""))</f>
        <v/>
      </c>
      <c r="I516" s="29" t="s">
        <v>1671</v>
      </c>
    </row>
    <row r="517" spans="1:9" x14ac:dyDescent="0.4">
      <c r="A517" s="29">
        <v>516</v>
      </c>
      <c r="B517" s="29" t="s">
        <v>1696</v>
      </c>
      <c r="C517" s="29" t="s">
        <v>1764</v>
      </c>
      <c r="D517" s="30"/>
      <c r="E517" s="29"/>
      <c r="F517" s="31">
        <v>46118</v>
      </c>
      <c r="G517" s="29" t="str">
        <f>IF('단어 시험장'!E517="❌","❌","")</f>
        <v/>
      </c>
      <c r="H517" s="35" t="str" cm="1">
        <f t="array" ref="H517">IF(B517="","",IF(COUNTIF($B$2:$B$501,B517)&gt;1,"No."&amp;_xlfn.TEXTJOIN(", ",TRUE,IF(($B$2:$B$501=B517)*(ROW($B$2:$B$501)&lt;&gt;ROW(B517)),""&amp;$A$2:$A$501,"")),""))</f>
        <v/>
      </c>
      <c r="I517" s="29" t="s">
        <v>1671</v>
      </c>
    </row>
    <row r="518" spans="1:9" x14ac:dyDescent="0.4">
      <c r="A518" s="29">
        <v>517</v>
      </c>
      <c r="B518" s="29" t="s">
        <v>1697</v>
      </c>
      <c r="C518" s="29" t="s">
        <v>1765</v>
      </c>
      <c r="D518" s="30"/>
      <c r="E518" s="29"/>
      <c r="F518" s="31">
        <v>46118</v>
      </c>
      <c r="G518" s="29" t="str">
        <f>IF('단어 시험장'!E518="❌","❌","")</f>
        <v/>
      </c>
      <c r="H518" s="35" t="str" cm="1">
        <f t="array" ref="H518">IF(B518="","",IF(COUNTIF($B$2:$B$501,B518)&gt;1,"No."&amp;_xlfn.TEXTJOIN(", ",TRUE,IF(($B$2:$B$501=B518)*(ROW($B$2:$B$501)&lt;&gt;ROW(B518)),""&amp;$A$2:$A$501,"")),""))</f>
        <v/>
      </c>
      <c r="I518" s="29" t="s">
        <v>1671</v>
      </c>
    </row>
    <row r="519" spans="1:9" x14ac:dyDescent="0.4">
      <c r="A519" s="29">
        <v>518</v>
      </c>
      <c r="B519" s="29" t="s">
        <v>1698</v>
      </c>
      <c r="C519" s="29" t="s">
        <v>1765</v>
      </c>
      <c r="D519" s="30"/>
      <c r="E519" s="29"/>
      <c r="F519" s="31">
        <v>46118</v>
      </c>
      <c r="G519" s="29" t="str">
        <f>IF('단어 시험장'!E519="❌","❌","")</f>
        <v/>
      </c>
      <c r="H519" s="35" t="str" cm="1">
        <f t="array" ref="H519">IF(B519="","",IF(COUNTIF($B$2:$B$501,B519)&gt;1,"No."&amp;_xlfn.TEXTJOIN(", ",TRUE,IF(($B$2:$B$501=B519)*(ROW($B$2:$B$501)&lt;&gt;ROW(B519)),""&amp;$A$2:$A$501,"")),""))</f>
        <v/>
      </c>
      <c r="I519" s="29" t="s">
        <v>1671</v>
      </c>
    </row>
    <row r="520" spans="1:9" x14ac:dyDescent="0.4">
      <c r="A520" s="29">
        <v>519</v>
      </c>
      <c r="B520" s="29" t="s">
        <v>1699</v>
      </c>
      <c r="C520" s="29" t="s">
        <v>1766</v>
      </c>
      <c r="D520" s="30"/>
      <c r="E520" s="29"/>
      <c r="F520" s="31">
        <v>46118</v>
      </c>
      <c r="G520" s="29" t="str">
        <f>IF('단어 시험장'!E520="❌","❌","")</f>
        <v/>
      </c>
      <c r="H520" s="35" t="str" cm="1">
        <f t="array" ref="H520">IF(B520="","",IF(COUNTIF($B$2:$B$501,B520)&gt;1,"No."&amp;_xlfn.TEXTJOIN(", ",TRUE,IF(($B$2:$B$501=B520)*(ROW($B$2:$B$501)&lt;&gt;ROW(B520)),""&amp;$A$2:$A$501,"")),""))</f>
        <v/>
      </c>
      <c r="I520" s="29" t="s">
        <v>1671</v>
      </c>
    </row>
    <row r="521" spans="1:9" x14ac:dyDescent="0.4">
      <c r="A521" s="29">
        <v>520</v>
      </c>
      <c r="B521" s="29" t="s">
        <v>1700</v>
      </c>
      <c r="C521" s="29" t="s">
        <v>1767</v>
      </c>
      <c r="D521" s="30"/>
      <c r="E521" s="29"/>
      <c r="F521" s="31">
        <v>46118</v>
      </c>
      <c r="G521" s="29" t="str">
        <f>IF('단어 시험장'!E521="❌","❌","")</f>
        <v/>
      </c>
      <c r="H521" s="35" t="str" cm="1">
        <f t="array" ref="H521">IF(B521="","",IF(COUNTIF($B$2:$B$501,B521)&gt;1,"No."&amp;_xlfn.TEXTJOIN(", ",TRUE,IF(($B$2:$B$501=B521)*(ROW($B$2:$B$501)&lt;&gt;ROW(B521)),""&amp;$A$2:$A$501,"")),""))</f>
        <v/>
      </c>
      <c r="I521" s="29" t="s">
        <v>1671</v>
      </c>
    </row>
    <row r="522" spans="1:9" x14ac:dyDescent="0.4">
      <c r="A522" s="29">
        <v>521</v>
      </c>
      <c r="B522" s="29" t="s">
        <v>1701</v>
      </c>
      <c r="C522" s="29" t="s">
        <v>1767</v>
      </c>
      <c r="D522" s="30"/>
      <c r="E522" s="29"/>
      <c r="F522" s="31">
        <v>46118</v>
      </c>
      <c r="G522" s="29" t="str">
        <f>IF('단어 시험장'!E522="❌","❌","")</f>
        <v/>
      </c>
      <c r="H522" s="35" t="str" cm="1">
        <f t="array" ref="H522">IF(B522="","",IF(COUNTIF($B$2:$B$501,B522)&gt;1,"No."&amp;_xlfn.TEXTJOIN(", ",TRUE,IF(($B$2:$B$501=B522)*(ROW($B$2:$B$501)&lt;&gt;ROW(B522)),""&amp;$A$2:$A$501,"")),""))</f>
        <v/>
      </c>
      <c r="I522" s="29" t="s">
        <v>1671</v>
      </c>
    </row>
    <row r="523" spans="1:9" x14ac:dyDescent="0.4">
      <c r="A523" s="29">
        <v>522</v>
      </c>
      <c r="B523" s="29" t="s">
        <v>1702</v>
      </c>
      <c r="C523" s="29" t="s">
        <v>1768</v>
      </c>
      <c r="D523" s="30"/>
      <c r="E523" s="29"/>
      <c r="F523" s="31">
        <v>46118</v>
      </c>
      <c r="G523" s="29" t="str">
        <f>IF('단어 시험장'!E523="❌","❌","")</f>
        <v/>
      </c>
      <c r="H523" s="35" t="str" cm="1">
        <f t="array" ref="H523">IF(B523="","",IF(COUNTIF($B$2:$B$501,B523)&gt;1,"No."&amp;_xlfn.TEXTJOIN(", ",TRUE,IF(($B$2:$B$501=B523)*(ROW($B$2:$B$501)&lt;&gt;ROW(B523)),""&amp;$A$2:$A$501,"")),""))</f>
        <v/>
      </c>
      <c r="I523" s="29" t="s">
        <v>1671</v>
      </c>
    </row>
    <row r="524" spans="1:9" x14ac:dyDescent="0.4">
      <c r="A524" s="29">
        <v>523</v>
      </c>
      <c r="B524" s="29" t="s">
        <v>1703</v>
      </c>
      <c r="C524" s="29" t="s">
        <v>1769</v>
      </c>
      <c r="D524" s="30"/>
      <c r="E524" s="29"/>
      <c r="F524" s="31">
        <v>46118</v>
      </c>
      <c r="G524" s="29" t="str">
        <f>IF('단어 시험장'!E524="❌","❌","")</f>
        <v/>
      </c>
      <c r="H524" s="35" t="str" cm="1">
        <f t="array" ref="H524">IF(B524="","",IF(COUNTIF($B$2:$B$501,B524)&gt;1,"No."&amp;_xlfn.TEXTJOIN(", ",TRUE,IF(($B$2:$B$501=B524)*(ROW($B$2:$B$501)&lt;&gt;ROW(B524)),""&amp;$A$2:$A$501,"")),""))</f>
        <v/>
      </c>
      <c r="I524" s="29" t="s">
        <v>1671</v>
      </c>
    </row>
    <row r="525" spans="1:9" x14ac:dyDescent="0.4">
      <c r="A525" s="29">
        <v>524</v>
      </c>
      <c r="B525" s="29" t="s">
        <v>1704</v>
      </c>
      <c r="C525" s="29" t="s">
        <v>1770</v>
      </c>
      <c r="D525" s="30"/>
      <c r="E525" s="29"/>
      <c r="F525" s="31">
        <v>46118</v>
      </c>
      <c r="G525" s="29" t="str">
        <f>IF('단어 시험장'!E525="❌","❌","")</f>
        <v/>
      </c>
      <c r="H525" s="35" t="str" cm="1">
        <f t="array" ref="H525">IF(B525="","",IF(COUNTIF($B$2:$B$501,B525)&gt;1,"No."&amp;_xlfn.TEXTJOIN(", ",TRUE,IF(($B$2:$B$501=B525)*(ROW($B$2:$B$501)&lt;&gt;ROW(B525)),""&amp;$A$2:$A$501,"")),""))</f>
        <v/>
      </c>
      <c r="I525" s="29" t="s">
        <v>1671</v>
      </c>
    </row>
    <row r="526" spans="1:9" x14ac:dyDescent="0.4">
      <c r="A526" s="29">
        <v>525</v>
      </c>
      <c r="B526" s="29" t="s">
        <v>1705</v>
      </c>
      <c r="C526" s="29" t="s">
        <v>1771</v>
      </c>
      <c r="D526" s="30"/>
      <c r="E526" s="29"/>
      <c r="F526" s="31">
        <v>46118</v>
      </c>
      <c r="G526" s="29" t="str">
        <f>IF('단어 시험장'!E526="❌","❌","")</f>
        <v/>
      </c>
      <c r="H526" s="35" t="str" cm="1">
        <f t="array" ref="H526">IF(B526="","",IF(COUNTIF($B$2:$B$501,B526)&gt;1,"No."&amp;_xlfn.TEXTJOIN(", ",TRUE,IF(($B$2:$B$501=B526)*(ROW($B$2:$B$501)&lt;&gt;ROW(B526)),""&amp;$A$2:$A$501,"")),""))</f>
        <v/>
      </c>
      <c r="I526" s="29" t="s">
        <v>1671</v>
      </c>
    </row>
    <row r="527" spans="1:9" x14ac:dyDescent="0.4">
      <c r="A527" s="29">
        <v>526</v>
      </c>
      <c r="B527" s="29" t="s">
        <v>1706</v>
      </c>
      <c r="C527" s="29" t="s">
        <v>1772</v>
      </c>
      <c r="D527" s="30"/>
      <c r="E527" s="29"/>
      <c r="F527" s="31">
        <v>46118</v>
      </c>
      <c r="G527" s="29" t="str">
        <f>IF('단어 시험장'!E527="❌","❌","")</f>
        <v/>
      </c>
      <c r="H527" s="35" t="str" cm="1">
        <f t="array" ref="H527">IF(B527="","",IF(COUNTIF($B$2:$B$501,B527)&gt;1,"No."&amp;_xlfn.TEXTJOIN(", ",TRUE,IF(($B$2:$B$501=B527)*(ROW($B$2:$B$501)&lt;&gt;ROW(B527)),""&amp;$A$2:$A$501,"")),""))</f>
        <v/>
      </c>
      <c r="I527" s="29" t="s">
        <v>1671</v>
      </c>
    </row>
    <row r="528" spans="1:9" x14ac:dyDescent="0.4">
      <c r="A528" s="29">
        <v>527</v>
      </c>
      <c r="B528" s="29" t="s">
        <v>1707</v>
      </c>
      <c r="C528" s="29" t="s">
        <v>1773</v>
      </c>
      <c r="D528" s="30"/>
      <c r="E528" s="29"/>
      <c r="F528" s="31">
        <v>46118</v>
      </c>
      <c r="G528" s="29" t="str">
        <f>IF('단어 시험장'!E528="❌","❌","")</f>
        <v/>
      </c>
      <c r="H528" s="35" t="str" cm="1">
        <f t="array" ref="H528">IF(B528="","",IF(COUNTIF($B$2:$B$501,B528)&gt;1,"No."&amp;_xlfn.TEXTJOIN(", ",TRUE,IF(($B$2:$B$501=B528)*(ROW($B$2:$B$501)&lt;&gt;ROW(B528)),""&amp;$A$2:$A$501,"")),""))</f>
        <v/>
      </c>
      <c r="I528" s="29" t="s">
        <v>1671</v>
      </c>
    </row>
    <row r="529" spans="1:9" x14ac:dyDescent="0.4">
      <c r="A529" s="29">
        <v>528</v>
      </c>
      <c r="B529" s="29" t="s">
        <v>1708</v>
      </c>
      <c r="C529" s="29" t="s">
        <v>1774</v>
      </c>
      <c r="D529" s="30"/>
      <c r="E529" s="29"/>
      <c r="F529" s="31">
        <v>46118</v>
      </c>
      <c r="G529" s="29" t="str">
        <f>IF('단어 시험장'!E529="❌","❌","")</f>
        <v/>
      </c>
      <c r="H529" s="35" t="str" cm="1">
        <f t="array" ref="H529">IF(B529="","",IF(COUNTIF($B$2:$B$501,B529)&gt;1,"No."&amp;_xlfn.TEXTJOIN(", ",TRUE,IF(($B$2:$B$501=B529)*(ROW($B$2:$B$501)&lt;&gt;ROW(B529)),""&amp;$A$2:$A$501,"")),""))</f>
        <v/>
      </c>
      <c r="I529" s="29" t="s">
        <v>1671</v>
      </c>
    </row>
    <row r="530" spans="1:9" x14ac:dyDescent="0.4">
      <c r="A530" s="29">
        <v>529</v>
      </c>
      <c r="B530" s="29" t="s">
        <v>1709</v>
      </c>
      <c r="C530" s="29" t="s">
        <v>1775</v>
      </c>
      <c r="D530" s="30"/>
      <c r="E530" s="29"/>
      <c r="F530" s="31">
        <v>46118</v>
      </c>
      <c r="G530" s="29" t="str">
        <f>IF('단어 시험장'!E530="❌","❌","")</f>
        <v/>
      </c>
      <c r="H530" s="35" t="str" cm="1">
        <f t="array" ref="H530">IF(B530="","",IF(COUNTIF($B$2:$B$501,B530)&gt;1,"No."&amp;_xlfn.TEXTJOIN(", ",TRUE,IF(($B$2:$B$501=B530)*(ROW($B$2:$B$501)&lt;&gt;ROW(B530)),""&amp;$A$2:$A$501,"")),""))</f>
        <v/>
      </c>
      <c r="I530" s="29" t="s">
        <v>1671</v>
      </c>
    </row>
    <row r="531" spans="1:9" x14ac:dyDescent="0.4">
      <c r="A531" s="29">
        <v>530</v>
      </c>
      <c r="B531" s="29" t="s">
        <v>1710</v>
      </c>
      <c r="C531" s="29" t="s">
        <v>1776</v>
      </c>
      <c r="D531" s="30"/>
      <c r="E531" s="29"/>
      <c r="F531" s="31">
        <v>46118</v>
      </c>
      <c r="G531" s="29" t="str">
        <f>IF('단어 시험장'!E531="❌","❌","")</f>
        <v/>
      </c>
      <c r="H531" s="35" t="str" cm="1">
        <f t="array" ref="H531">IF(B531="","",IF(COUNTIF($B$2:$B$501,B531)&gt;1,"No."&amp;_xlfn.TEXTJOIN(", ",TRUE,IF(($B$2:$B$501=B531)*(ROW($B$2:$B$501)&lt;&gt;ROW(B531)),""&amp;$A$2:$A$501,"")),""))</f>
        <v/>
      </c>
      <c r="I531" s="29" t="s">
        <v>1671</v>
      </c>
    </row>
    <row r="532" spans="1:9" x14ac:dyDescent="0.4">
      <c r="A532" s="29">
        <v>531</v>
      </c>
      <c r="B532" s="29" t="s">
        <v>1711</v>
      </c>
      <c r="C532" s="29" t="s">
        <v>1777</v>
      </c>
      <c r="D532" s="30"/>
      <c r="E532" s="29"/>
      <c r="F532" s="31">
        <v>46118</v>
      </c>
      <c r="G532" s="29" t="str">
        <f>IF('단어 시험장'!E532="❌","❌","")</f>
        <v/>
      </c>
      <c r="H532" s="35" t="str" cm="1">
        <f t="array" ref="H532">IF(B532="","",IF(COUNTIF($B$2:$B$501,B532)&gt;1,"No."&amp;_xlfn.TEXTJOIN(", ",TRUE,IF(($B$2:$B$501=B532)*(ROW($B$2:$B$501)&lt;&gt;ROW(B532)),""&amp;$A$2:$A$501,"")),""))</f>
        <v/>
      </c>
      <c r="I532" s="29" t="s">
        <v>1671</v>
      </c>
    </row>
    <row r="533" spans="1:9" x14ac:dyDescent="0.4">
      <c r="A533" s="29">
        <v>532</v>
      </c>
      <c r="B533" s="29" t="s">
        <v>1712</v>
      </c>
      <c r="C533" s="29" t="s">
        <v>1778</v>
      </c>
      <c r="D533" s="30"/>
      <c r="E533" s="29"/>
      <c r="F533" s="31">
        <v>46118</v>
      </c>
      <c r="G533" s="29" t="str">
        <f>IF('단어 시험장'!E533="❌","❌","")</f>
        <v/>
      </c>
      <c r="H533" s="35" t="str" cm="1">
        <f t="array" ref="H533">IF(B533="","",IF(COUNTIF($B$2:$B$501,B533)&gt;1,"No."&amp;_xlfn.TEXTJOIN(", ",TRUE,IF(($B$2:$B$501=B533)*(ROW($B$2:$B$501)&lt;&gt;ROW(B533)),""&amp;$A$2:$A$501,"")),""))</f>
        <v/>
      </c>
      <c r="I533" s="29" t="s">
        <v>1671</v>
      </c>
    </row>
    <row r="534" spans="1:9" x14ac:dyDescent="0.4">
      <c r="A534" s="29">
        <v>533</v>
      </c>
      <c r="B534" s="29" t="s">
        <v>1713</v>
      </c>
      <c r="C534" s="29" t="s">
        <v>1714</v>
      </c>
      <c r="D534" s="30"/>
      <c r="E534" s="29"/>
      <c r="F534" s="31">
        <v>46118</v>
      </c>
      <c r="G534" s="29" t="str">
        <f>IF('단어 시험장'!E534="❌","❌","")</f>
        <v/>
      </c>
      <c r="H534" s="35" t="str" cm="1">
        <f t="array" ref="H534">IF(B534="","",IF(COUNTIF($B$2:$B$501,B534)&gt;1,"No."&amp;_xlfn.TEXTJOIN(", ",TRUE,IF(($B$2:$B$501=B534)*(ROW($B$2:$B$501)&lt;&gt;ROW(B534)),""&amp;$A$2:$A$501,"")),""))</f>
        <v/>
      </c>
      <c r="I534" s="29" t="s">
        <v>1671</v>
      </c>
    </row>
    <row r="535" spans="1:9" x14ac:dyDescent="0.4">
      <c r="A535" s="29">
        <v>534</v>
      </c>
      <c r="B535" s="29" t="s">
        <v>1715</v>
      </c>
      <c r="C535" s="29" t="s">
        <v>1779</v>
      </c>
      <c r="D535" s="30"/>
      <c r="E535" s="29"/>
      <c r="F535" s="31">
        <v>46118</v>
      </c>
      <c r="G535" s="29" t="str">
        <f>IF('단어 시험장'!E535="❌","❌","")</f>
        <v/>
      </c>
      <c r="H535" s="35" t="str" cm="1">
        <f t="array" ref="H535">IF(B535="","",IF(COUNTIF($B$2:$B$501,B535)&gt;1,"No."&amp;_xlfn.TEXTJOIN(", ",TRUE,IF(($B$2:$B$501=B535)*(ROW($B$2:$B$501)&lt;&gt;ROW(B535)),""&amp;$A$2:$A$501,"")),""))</f>
        <v/>
      </c>
      <c r="I535" s="29" t="s">
        <v>1671</v>
      </c>
    </row>
    <row r="536" spans="1:9" x14ac:dyDescent="0.4">
      <c r="A536" s="29">
        <v>535</v>
      </c>
      <c r="B536" s="29" t="s">
        <v>1716</v>
      </c>
      <c r="C536" s="29" t="s">
        <v>1780</v>
      </c>
      <c r="D536" s="30"/>
      <c r="E536" s="29"/>
      <c r="F536" s="31">
        <v>46118</v>
      </c>
      <c r="G536" s="29" t="str">
        <f>IF('단어 시험장'!E536="❌","❌","")</f>
        <v/>
      </c>
      <c r="H536" s="35" t="str" cm="1">
        <f t="array" ref="H536">IF(B536="","",IF(COUNTIF($B$2:$B$501,B536)&gt;1,"No."&amp;_xlfn.TEXTJOIN(", ",TRUE,IF(($B$2:$B$501=B536)*(ROW($B$2:$B$501)&lt;&gt;ROW(B536)),""&amp;$A$2:$A$501,"")),""))</f>
        <v/>
      </c>
      <c r="I536" s="29" t="s">
        <v>1671</v>
      </c>
    </row>
    <row r="537" spans="1:9" x14ac:dyDescent="0.4">
      <c r="A537" s="29">
        <v>536</v>
      </c>
      <c r="B537" s="29" t="s">
        <v>1717</v>
      </c>
      <c r="C537" s="29" t="s">
        <v>1781</v>
      </c>
      <c r="D537" s="30"/>
      <c r="E537" s="29"/>
      <c r="F537" s="31">
        <v>46118</v>
      </c>
      <c r="G537" s="29" t="str">
        <f>IF('단어 시험장'!E537="❌","❌","")</f>
        <v/>
      </c>
      <c r="H537" s="35" t="str" cm="1">
        <f t="array" ref="H537">IF(B537="","",IF(COUNTIF($B$2:$B$501,B537)&gt;1,"No."&amp;_xlfn.TEXTJOIN(", ",TRUE,IF(($B$2:$B$501=B537)*(ROW($B$2:$B$501)&lt;&gt;ROW(B537)),""&amp;$A$2:$A$501,"")),""))</f>
        <v/>
      </c>
      <c r="I537" s="29" t="s">
        <v>1671</v>
      </c>
    </row>
    <row r="538" spans="1:9" x14ac:dyDescent="0.4">
      <c r="A538" s="29">
        <v>537</v>
      </c>
      <c r="B538" s="29" t="s">
        <v>1718</v>
      </c>
      <c r="C538" s="29" t="s">
        <v>1781</v>
      </c>
      <c r="D538" s="30"/>
      <c r="E538" s="29"/>
      <c r="F538" s="31">
        <v>46118</v>
      </c>
      <c r="G538" s="29" t="str">
        <f>IF('단어 시험장'!E538="❌","❌","")</f>
        <v/>
      </c>
      <c r="H538" s="35" t="str" cm="1">
        <f t="array" ref="H538">IF(B538="","",IF(COUNTIF($B$2:$B$501,B538)&gt;1,"No."&amp;_xlfn.TEXTJOIN(", ",TRUE,IF(($B$2:$B$501=B538)*(ROW($B$2:$B$501)&lt;&gt;ROW(B538)),""&amp;$A$2:$A$501,"")),""))</f>
        <v/>
      </c>
      <c r="I538" s="29" t="s">
        <v>1671</v>
      </c>
    </row>
    <row r="539" spans="1:9" x14ac:dyDescent="0.4">
      <c r="A539" s="29">
        <v>538</v>
      </c>
      <c r="B539" s="29" t="s">
        <v>1719</v>
      </c>
      <c r="C539" s="29" t="s">
        <v>1782</v>
      </c>
      <c r="D539" s="30"/>
      <c r="E539" s="29"/>
      <c r="F539" s="31">
        <v>46118</v>
      </c>
      <c r="G539" s="29" t="str">
        <f>IF('단어 시험장'!E539="❌","❌","")</f>
        <v/>
      </c>
      <c r="H539" s="35" t="str" cm="1">
        <f t="array" ref="H539">IF(B539="","",IF(COUNTIF($B$2:$B$501,B539)&gt;1,"No."&amp;_xlfn.TEXTJOIN(", ",TRUE,IF(($B$2:$B$501=B539)*(ROW($B$2:$B$501)&lt;&gt;ROW(B539)),""&amp;$A$2:$A$501,"")),""))</f>
        <v/>
      </c>
      <c r="I539" s="29" t="s">
        <v>1671</v>
      </c>
    </row>
    <row r="540" spans="1:9" x14ac:dyDescent="0.4">
      <c r="A540" s="29">
        <v>539</v>
      </c>
      <c r="B540" s="29" t="s">
        <v>1720</v>
      </c>
      <c r="C540" s="29" t="s">
        <v>1783</v>
      </c>
      <c r="D540" s="30"/>
      <c r="E540" s="29"/>
      <c r="F540" s="31">
        <v>46118</v>
      </c>
      <c r="G540" s="29" t="str">
        <f>IF('단어 시험장'!E540="❌","❌","")</f>
        <v/>
      </c>
      <c r="H540" s="35" t="str" cm="1">
        <f t="array" ref="H540">IF(B540="","",IF(COUNTIF($B$2:$B$501,B540)&gt;1,"No."&amp;_xlfn.TEXTJOIN(", ",TRUE,IF(($B$2:$B$501=B540)*(ROW($B$2:$B$501)&lt;&gt;ROW(B540)),""&amp;$A$2:$A$501,"")),""))</f>
        <v/>
      </c>
      <c r="I540" s="29" t="s">
        <v>1671</v>
      </c>
    </row>
    <row r="541" spans="1:9" x14ac:dyDescent="0.4">
      <c r="A541" s="29">
        <v>540</v>
      </c>
      <c r="B541" s="29" t="s">
        <v>1721</v>
      </c>
      <c r="C541" s="29" t="s">
        <v>1784</v>
      </c>
      <c r="D541" s="30"/>
      <c r="E541" s="29"/>
      <c r="F541" s="31">
        <v>46118</v>
      </c>
      <c r="G541" s="29" t="str">
        <f>IF('단어 시험장'!E541="❌","❌","")</f>
        <v/>
      </c>
      <c r="H541" s="35" t="str" cm="1">
        <f t="array" ref="H541">IF(B541="","",IF(COUNTIF($B$2:$B$501,B541)&gt;1,"No."&amp;_xlfn.TEXTJOIN(", ",TRUE,IF(($B$2:$B$501=B541)*(ROW($B$2:$B$501)&lt;&gt;ROW(B541)),""&amp;$A$2:$A$501,"")),""))</f>
        <v/>
      </c>
      <c r="I541" s="29" t="s">
        <v>1671</v>
      </c>
    </row>
    <row r="542" spans="1:9" x14ac:dyDescent="0.4">
      <c r="A542" s="29">
        <v>541</v>
      </c>
      <c r="B542" s="29" t="s">
        <v>1722</v>
      </c>
      <c r="C542" s="29" t="s">
        <v>1785</v>
      </c>
      <c r="D542" s="30"/>
      <c r="E542" s="29"/>
      <c r="F542" s="31">
        <v>46118</v>
      </c>
      <c r="G542" s="29" t="str">
        <f>IF('단어 시험장'!E542="❌","❌","")</f>
        <v/>
      </c>
      <c r="H542" s="35" t="str" cm="1">
        <f t="array" ref="H542">IF(B542="","",IF(COUNTIF($B$2:$B$501,B542)&gt;1,"No."&amp;_xlfn.TEXTJOIN(", ",TRUE,IF(($B$2:$B$501=B542)*(ROW($B$2:$B$501)&lt;&gt;ROW(B542)),""&amp;$A$2:$A$501,"")),""))</f>
        <v/>
      </c>
      <c r="I542" s="29" t="s">
        <v>1671</v>
      </c>
    </row>
    <row r="543" spans="1:9" x14ac:dyDescent="0.4">
      <c r="A543" s="29">
        <v>542</v>
      </c>
      <c r="B543" s="29" t="s">
        <v>1723</v>
      </c>
      <c r="C543" s="29" t="s">
        <v>1790</v>
      </c>
      <c r="D543" s="30"/>
      <c r="E543" s="29"/>
      <c r="F543" s="31">
        <v>46118</v>
      </c>
      <c r="G543" s="29" t="str">
        <f>IF('단어 시험장'!E543="❌","❌","")</f>
        <v/>
      </c>
      <c r="H543" s="35" t="str" cm="1">
        <f t="array" ref="H543">IF(B543="","",IF(COUNTIF($B$2:$B$501,B543)&gt;1,"No."&amp;_xlfn.TEXTJOIN(", ",TRUE,IF(($B$2:$B$501=B543)*(ROW($B$2:$B$501)&lt;&gt;ROW(B543)),""&amp;$A$2:$A$501,"")),""))</f>
        <v/>
      </c>
      <c r="I543" s="29" t="s">
        <v>1671</v>
      </c>
    </row>
    <row r="544" spans="1:9" x14ac:dyDescent="0.4">
      <c r="A544" s="29">
        <v>543</v>
      </c>
      <c r="B544" s="29" t="s">
        <v>1724</v>
      </c>
      <c r="C544" s="29" t="s">
        <v>1786</v>
      </c>
      <c r="D544" s="30"/>
      <c r="E544" s="29"/>
      <c r="F544" s="31">
        <v>46118</v>
      </c>
      <c r="G544" s="29" t="str">
        <f>IF('단어 시험장'!E544="❌","❌","")</f>
        <v/>
      </c>
      <c r="H544" s="35" t="str" cm="1">
        <f t="array" ref="H544">IF(B544="","",IF(COUNTIF($B$2:$B$501,B544)&gt;1,"No."&amp;_xlfn.TEXTJOIN(", ",TRUE,IF(($B$2:$B$501=B544)*(ROW($B$2:$B$501)&lt;&gt;ROW(B544)),""&amp;$A$2:$A$501,"")),""))</f>
        <v/>
      </c>
      <c r="I544" s="29" t="s">
        <v>1671</v>
      </c>
    </row>
    <row r="545" spans="1:9" x14ac:dyDescent="0.4">
      <c r="A545" s="29">
        <v>544</v>
      </c>
      <c r="B545" s="29" t="s">
        <v>1725</v>
      </c>
      <c r="C545" s="29" t="s">
        <v>1787</v>
      </c>
      <c r="D545" s="30"/>
      <c r="E545" s="29"/>
      <c r="F545" s="31">
        <v>46118</v>
      </c>
      <c r="G545" s="29" t="str">
        <f>IF('단어 시험장'!E545="❌","❌","")</f>
        <v/>
      </c>
      <c r="H545" s="35" t="str" cm="1">
        <f t="array" ref="H545">IF(B545="","",IF(COUNTIF($B$2:$B$501,B545)&gt;1,"No."&amp;_xlfn.TEXTJOIN(", ",TRUE,IF(($B$2:$B$501=B545)*(ROW($B$2:$B$501)&lt;&gt;ROW(B545)),""&amp;$A$2:$A$501,"")),""))</f>
        <v/>
      </c>
      <c r="I545" s="29" t="s">
        <v>1671</v>
      </c>
    </row>
    <row r="546" spans="1:9" x14ac:dyDescent="0.4">
      <c r="A546" s="29">
        <v>545</v>
      </c>
      <c r="B546" s="29" t="s">
        <v>1726</v>
      </c>
      <c r="C546" s="29" t="s">
        <v>1788</v>
      </c>
      <c r="D546" s="30"/>
      <c r="E546" s="29"/>
      <c r="F546" s="31">
        <v>46118</v>
      </c>
      <c r="G546" s="29" t="str">
        <f>IF('단어 시험장'!E546="❌","❌","")</f>
        <v/>
      </c>
      <c r="H546" s="35" t="str" cm="1">
        <f t="array" ref="H546">IF(B546="","",IF(COUNTIF($B$2:$B$501,B546)&gt;1,"No."&amp;_xlfn.TEXTJOIN(", ",TRUE,IF(($B$2:$B$501=B546)*(ROW($B$2:$B$501)&lt;&gt;ROW(B546)),""&amp;$A$2:$A$501,"")),""))</f>
        <v/>
      </c>
      <c r="I546" s="29" t="s">
        <v>1671</v>
      </c>
    </row>
    <row r="547" spans="1:9" x14ac:dyDescent="0.4">
      <c r="A547" s="29">
        <v>546</v>
      </c>
      <c r="B547" s="29" t="s">
        <v>1727</v>
      </c>
      <c r="C547" s="29" t="s">
        <v>1788</v>
      </c>
      <c r="D547" s="30"/>
      <c r="E547" s="29"/>
      <c r="F547" s="31">
        <v>46118</v>
      </c>
      <c r="G547" s="29" t="str">
        <f>IF('단어 시험장'!E547="❌","❌","")</f>
        <v/>
      </c>
      <c r="H547" s="35" t="str" cm="1">
        <f t="array" ref="H547">IF(B547="","",IF(COUNTIF($B$2:$B$501,B547)&gt;1,"No."&amp;_xlfn.TEXTJOIN(", ",TRUE,IF(($B$2:$B$501=B547)*(ROW($B$2:$B$501)&lt;&gt;ROW(B547)),""&amp;$A$2:$A$501,"")),""))</f>
        <v/>
      </c>
      <c r="I547" s="29" t="s">
        <v>1671</v>
      </c>
    </row>
    <row r="548" spans="1:9" x14ac:dyDescent="0.4">
      <c r="A548" s="29">
        <v>547</v>
      </c>
      <c r="B548" s="29" t="s">
        <v>298</v>
      </c>
      <c r="C548" s="29" t="s">
        <v>346</v>
      </c>
      <c r="D548" s="30"/>
      <c r="E548" s="29"/>
      <c r="F548" s="31">
        <v>46118</v>
      </c>
      <c r="G548" s="29" t="str">
        <f>IF('단어 시험장'!E548="❌","❌","")</f>
        <v/>
      </c>
      <c r="H548" s="35" t="str" cm="1">
        <f t="array" ref="H548">IF(B548="","",IF(COUNTIF($B$2:$B$501,B548)&gt;1,"No."&amp;_xlfn.TEXTJOIN(", ",TRUE,IF(($B$2:$B$501=B548)*(ROW($B$2:$B$501)&lt;&gt;ROW(B548)),""&amp;$A$2:$A$501,"")),""))</f>
        <v/>
      </c>
      <c r="I548" s="29" t="s">
        <v>1671</v>
      </c>
    </row>
    <row r="549" spans="1:9" x14ac:dyDescent="0.4">
      <c r="A549" s="29">
        <v>548</v>
      </c>
      <c r="B549" s="29" t="s">
        <v>1728</v>
      </c>
      <c r="C549" s="29" t="s">
        <v>1789</v>
      </c>
      <c r="D549" s="30"/>
      <c r="E549" s="29"/>
      <c r="F549" s="31">
        <v>46118</v>
      </c>
      <c r="G549" s="29" t="str">
        <f>IF('단어 시험장'!E549="❌","❌","")</f>
        <v/>
      </c>
      <c r="H549" s="35" t="str" cm="1">
        <f t="array" ref="H549">IF(B549="","",IF(COUNTIF($B$2:$B$501,B549)&gt;1,"No."&amp;_xlfn.TEXTJOIN(", ",TRUE,IF(($B$2:$B$501=B549)*(ROW($B$2:$B$501)&lt;&gt;ROW(B549)),""&amp;$A$2:$A$501,"")),""))</f>
        <v/>
      </c>
      <c r="I549" s="29" t="s">
        <v>1671</v>
      </c>
    </row>
    <row r="550" spans="1:9" x14ac:dyDescent="0.4">
      <c r="A550" s="29">
        <v>549</v>
      </c>
      <c r="B550" s="29" t="s">
        <v>882</v>
      </c>
      <c r="C550" s="29" t="s">
        <v>1791</v>
      </c>
      <c r="D550" s="30"/>
      <c r="E550" s="29"/>
      <c r="F550" s="31">
        <v>46118</v>
      </c>
      <c r="G550" s="29" t="str">
        <f>IF('단어 시험장'!E550="❌","❌","")</f>
        <v/>
      </c>
      <c r="H550" s="35" t="str" cm="1">
        <f t="array" ref="H550">IF(B550="","",IF(COUNTIF($B$2:$B$501,B550)&gt;1,"No."&amp;_xlfn.TEXTJOIN(", ",TRUE,IF(($B$2:$B$501=B550)*(ROW($B$2:$B$501)&lt;&gt;ROW(B550)),""&amp;$A$2:$A$501,"")),""))</f>
        <v/>
      </c>
      <c r="I550" s="29" t="s">
        <v>1671</v>
      </c>
    </row>
    <row r="551" spans="1:9" x14ac:dyDescent="0.4">
      <c r="A551" s="29">
        <v>550</v>
      </c>
      <c r="B551" s="29" t="s">
        <v>403</v>
      </c>
      <c r="C551" s="29" t="s">
        <v>1792</v>
      </c>
      <c r="D551" s="30"/>
      <c r="E551" s="29"/>
      <c r="F551" s="31">
        <v>46118</v>
      </c>
      <c r="G551" s="29" t="str">
        <f>IF('단어 시험장'!E551="❌","❌","")</f>
        <v/>
      </c>
      <c r="H551" s="35" t="str" cm="1">
        <f t="array" ref="H551">IF(B551="","",IF(COUNTIF($B$2:$B$501,B551)&gt;1,"No."&amp;_xlfn.TEXTJOIN(", ",TRUE,IF(($B$2:$B$501=B551)*(ROW($B$2:$B$501)&lt;&gt;ROW(B551)),""&amp;$A$2:$A$501,"")),""))</f>
        <v/>
      </c>
      <c r="I551" s="29" t="s">
        <v>1671</v>
      </c>
    </row>
    <row r="552" spans="1:9" x14ac:dyDescent="0.4">
      <c r="A552" s="29">
        <v>551</v>
      </c>
      <c r="B552" s="29" t="s">
        <v>1729</v>
      </c>
      <c r="C552" s="29" t="s">
        <v>1793</v>
      </c>
      <c r="D552" s="30"/>
      <c r="E552" s="29"/>
      <c r="F552" s="31">
        <v>46118</v>
      </c>
      <c r="G552" s="29" t="str">
        <f>IF('단어 시험장'!E552="❌","❌","")</f>
        <v/>
      </c>
      <c r="H552" s="35" t="str" cm="1">
        <f t="array" ref="H552">IF(B552="","",IF(COUNTIF($B$2:$B$501,B552)&gt;1,"No."&amp;_xlfn.TEXTJOIN(", ",TRUE,IF(($B$2:$B$501=B552)*(ROW($B$2:$B$501)&lt;&gt;ROW(B552)),""&amp;$A$2:$A$501,"")),""))</f>
        <v/>
      </c>
      <c r="I552" s="29" t="s">
        <v>1671</v>
      </c>
    </row>
    <row r="553" spans="1:9" x14ac:dyDescent="0.4">
      <c r="A553" s="29">
        <v>552</v>
      </c>
      <c r="B553" s="29" t="s">
        <v>1730</v>
      </c>
      <c r="C553" s="29" t="s">
        <v>1794</v>
      </c>
      <c r="D553" s="30"/>
      <c r="E553" s="29"/>
      <c r="F553" s="31">
        <v>46118</v>
      </c>
      <c r="G553" s="29" t="str">
        <f>IF('단어 시험장'!E553="❌","❌","")</f>
        <v/>
      </c>
      <c r="H553" s="35" t="str" cm="1">
        <f t="array" ref="H553">IF(B553="","",IF(COUNTIF($B$2:$B$501,B553)&gt;1,"No."&amp;_xlfn.TEXTJOIN(", ",TRUE,IF(($B$2:$B$501=B553)*(ROW($B$2:$B$501)&lt;&gt;ROW(B553)),""&amp;$A$2:$A$501,"")),""))</f>
        <v/>
      </c>
      <c r="I553" s="29" t="s">
        <v>1671</v>
      </c>
    </row>
    <row r="554" spans="1:9" x14ac:dyDescent="0.4">
      <c r="A554" s="29">
        <v>553</v>
      </c>
      <c r="B554" s="29" t="s">
        <v>1731</v>
      </c>
      <c r="C554" s="29" t="s">
        <v>1795</v>
      </c>
      <c r="D554" s="30"/>
      <c r="E554" s="29"/>
      <c r="F554" s="31">
        <v>46118</v>
      </c>
      <c r="G554" s="29" t="str">
        <f>IF('단어 시험장'!E554="❌","❌","")</f>
        <v/>
      </c>
      <c r="H554" s="35" t="str" cm="1">
        <f t="array" ref="H554">IF(B554="","",IF(COUNTIF($B$2:$B$501,B554)&gt;1,"No."&amp;_xlfn.TEXTJOIN(", ",TRUE,IF(($B$2:$B$501=B554)*(ROW($B$2:$B$501)&lt;&gt;ROW(B554)),""&amp;$A$2:$A$501,"")),""))</f>
        <v/>
      </c>
      <c r="I554" s="29" t="s">
        <v>1671</v>
      </c>
    </row>
    <row r="555" spans="1:9" x14ac:dyDescent="0.4">
      <c r="A555" s="29">
        <v>554</v>
      </c>
      <c r="B555" s="29" t="s">
        <v>1732</v>
      </c>
      <c r="C555" s="29" t="s">
        <v>1796</v>
      </c>
      <c r="D555" s="30"/>
      <c r="E555" s="29"/>
      <c r="F555" s="31">
        <v>46118</v>
      </c>
      <c r="G555" s="29" t="str">
        <f>IF('단어 시험장'!E555="❌","❌","")</f>
        <v/>
      </c>
      <c r="H555" s="35" t="str" cm="1">
        <f t="array" ref="H555">IF(B555="","",IF(COUNTIF($B$2:$B$501,B555)&gt;1,"No."&amp;_xlfn.TEXTJOIN(", ",TRUE,IF(($B$2:$B$501=B555)*(ROW($B$2:$B$501)&lt;&gt;ROW(B555)),""&amp;$A$2:$A$501,"")),""))</f>
        <v/>
      </c>
      <c r="I555" s="29" t="s">
        <v>1671</v>
      </c>
    </row>
    <row r="556" spans="1:9" x14ac:dyDescent="0.4">
      <c r="A556" s="29">
        <v>555</v>
      </c>
      <c r="B556" s="29" t="s">
        <v>1733</v>
      </c>
      <c r="C556" s="29" t="s">
        <v>1796</v>
      </c>
      <c r="D556" s="30"/>
      <c r="E556" s="29"/>
      <c r="F556" s="31">
        <v>46118</v>
      </c>
      <c r="G556" s="29" t="str">
        <f>IF('단어 시험장'!E556="❌","❌","")</f>
        <v/>
      </c>
      <c r="H556" s="35" t="str" cm="1">
        <f t="array" ref="H556">IF(B556="","",IF(COUNTIF($B$2:$B$501,B556)&gt;1,"No."&amp;_xlfn.TEXTJOIN(", ",TRUE,IF(($B$2:$B$501=B556)*(ROW($B$2:$B$501)&lt;&gt;ROW(B556)),""&amp;$A$2:$A$501,"")),""))</f>
        <v/>
      </c>
      <c r="I556" s="29" t="s">
        <v>1671</v>
      </c>
    </row>
    <row r="557" spans="1:9" x14ac:dyDescent="0.4">
      <c r="A557" s="29">
        <v>556</v>
      </c>
      <c r="B557" s="29" t="s">
        <v>1734</v>
      </c>
      <c r="C557" s="29" t="s">
        <v>1797</v>
      </c>
      <c r="D557" s="30"/>
      <c r="E557" s="29"/>
      <c r="F557" s="31">
        <v>46118</v>
      </c>
      <c r="G557" s="29" t="str">
        <f>IF('단어 시험장'!E557="❌","❌","")</f>
        <v/>
      </c>
      <c r="H557" s="35" t="str" cm="1">
        <f t="array" ref="H557">IF(B557="","",IF(COUNTIF($B$2:$B$501,B557)&gt;1,"No."&amp;_xlfn.TEXTJOIN(", ",TRUE,IF(($B$2:$B$501=B557)*(ROW($B$2:$B$501)&lt;&gt;ROW(B557)),""&amp;$A$2:$A$501,"")),""))</f>
        <v/>
      </c>
      <c r="I557" s="29" t="s">
        <v>1671</v>
      </c>
    </row>
    <row r="558" spans="1:9" x14ac:dyDescent="0.4">
      <c r="A558" s="29">
        <v>557</v>
      </c>
      <c r="B558" s="29" t="s">
        <v>1735</v>
      </c>
      <c r="C558" s="29" t="s">
        <v>1798</v>
      </c>
      <c r="D558" s="30"/>
      <c r="E558" s="29"/>
      <c r="F558" s="31">
        <v>46118</v>
      </c>
      <c r="G558" s="29" t="str">
        <f>IF('단어 시험장'!E558="❌","❌","")</f>
        <v/>
      </c>
      <c r="H558" s="35" t="str" cm="1">
        <f t="array" ref="H558">IF(B558="","",IF(COUNTIF($B$2:$B$501,B558)&gt;1,"No."&amp;_xlfn.TEXTJOIN(", ",TRUE,IF(($B$2:$B$501=B558)*(ROW($B$2:$B$501)&lt;&gt;ROW(B558)),""&amp;$A$2:$A$501,"")),""))</f>
        <v/>
      </c>
      <c r="I558" s="29" t="s">
        <v>1671</v>
      </c>
    </row>
    <row r="559" spans="1:9" x14ac:dyDescent="0.4">
      <c r="A559" s="29">
        <v>558</v>
      </c>
      <c r="B559" s="29" t="s">
        <v>1736</v>
      </c>
      <c r="C559" s="29" t="s">
        <v>1799</v>
      </c>
      <c r="D559" s="30"/>
      <c r="E559" s="29"/>
      <c r="F559" s="31">
        <v>46118</v>
      </c>
      <c r="G559" s="29" t="str">
        <f>IF('단어 시험장'!E559="❌","❌","")</f>
        <v/>
      </c>
      <c r="H559" s="35" t="str" cm="1">
        <f t="array" ref="H559">IF(B559="","",IF(COUNTIF($B$2:$B$501,B559)&gt;1,"No."&amp;_xlfn.TEXTJOIN(", ",TRUE,IF(($B$2:$B$501=B559)*(ROW($B$2:$B$501)&lt;&gt;ROW(B559)),""&amp;$A$2:$A$501,"")),""))</f>
        <v/>
      </c>
      <c r="I559" s="29" t="s">
        <v>1671</v>
      </c>
    </row>
    <row r="560" spans="1:9" x14ac:dyDescent="0.4">
      <c r="A560" s="29">
        <v>559</v>
      </c>
      <c r="B560" s="29" t="s">
        <v>1737</v>
      </c>
      <c r="C560" s="29" t="s">
        <v>1800</v>
      </c>
      <c r="D560" s="30"/>
      <c r="E560" s="29"/>
      <c r="F560" s="31">
        <v>46118</v>
      </c>
      <c r="G560" s="29" t="str">
        <f>IF('단어 시험장'!E560="❌","❌","")</f>
        <v/>
      </c>
      <c r="H560" s="35" t="str" cm="1">
        <f t="array" ref="H560">IF(B560="","",IF(COUNTIF($B$2:$B$501,B560)&gt;1,"No."&amp;_xlfn.TEXTJOIN(", ",TRUE,IF(($B$2:$B$501=B560)*(ROW($B$2:$B$501)&lt;&gt;ROW(B560)),""&amp;$A$2:$A$501,"")),""))</f>
        <v/>
      </c>
      <c r="I560" s="29" t="s">
        <v>1671</v>
      </c>
    </row>
    <row r="561" spans="1:9" x14ac:dyDescent="0.4">
      <c r="A561" s="29">
        <v>560</v>
      </c>
      <c r="B561" s="29" t="s">
        <v>1738</v>
      </c>
      <c r="C561" s="29" t="s">
        <v>1801</v>
      </c>
      <c r="D561" s="30"/>
      <c r="E561" s="29"/>
      <c r="F561" s="31">
        <v>46118</v>
      </c>
      <c r="G561" s="29" t="str">
        <f>IF('단어 시험장'!E561="❌","❌","")</f>
        <v/>
      </c>
      <c r="H561" s="35" t="str" cm="1">
        <f t="array" ref="H561">IF(B561="","",IF(COUNTIF($B$2:$B$501,B561)&gt;1,"No."&amp;_xlfn.TEXTJOIN(", ",TRUE,IF(($B$2:$B$501=B561)*(ROW($B$2:$B$501)&lt;&gt;ROW(B561)),""&amp;$A$2:$A$501,"")),""))</f>
        <v/>
      </c>
      <c r="I561" s="29" t="s">
        <v>1671</v>
      </c>
    </row>
    <row r="562" spans="1:9" x14ac:dyDescent="0.4">
      <c r="A562" s="29">
        <v>561</v>
      </c>
      <c r="B562" s="29" t="s">
        <v>1739</v>
      </c>
      <c r="C562" s="29" t="s">
        <v>1802</v>
      </c>
      <c r="D562" s="30"/>
      <c r="E562" s="29"/>
      <c r="F562" s="31">
        <v>46118</v>
      </c>
      <c r="G562" s="29" t="str">
        <f>IF('단어 시험장'!E562="❌","❌","")</f>
        <v/>
      </c>
      <c r="H562" s="35" t="str" cm="1">
        <f t="array" ref="H562">IF(B562="","",IF(COUNTIF($B$2:$B$501,B562)&gt;1,"No."&amp;_xlfn.TEXTJOIN(", ",TRUE,IF(($B$2:$B$501=B562)*(ROW($B$2:$B$501)&lt;&gt;ROW(B562)),""&amp;$A$2:$A$501,"")),""))</f>
        <v/>
      </c>
      <c r="I562" s="29" t="s">
        <v>1671</v>
      </c>
    </row>
    <row r="563" spans="1:9" x14ac:dyDescent="0.4">
      <c r="A563" s="29">
        <v>562</v>
      </c>
      <c r="B563" s="29" t="s">
        <v>445</v>
      </c>
      <c r="C563" s="29" t="s">
        <v>1802</v>
      </c>
      <c r="D563" s="30"/>
      <c r="E563" s="29"/>
      <c r="F563" s="31">
        <v>46118</v>
      </c>
      <c r="G563" s="29" t="str">
        <f>IF('단어 시험장'!E563="❌","❌","")</f>
        <v/>
      </c>
      <c r="H563" s="35" t="str" cm="1">
        <f t="array" ref="H563">IF(B563="","",IF(COUNTIF($B$2:$B$501,B563)&gt;1,"No."&amp;_xlfn.TEXTJOIN(", ",TRUE,IF(($B$2:$B$501=B563)*(ROW($B$2:$B$501)&lt;&gt;ROW(B563)),""&amp;$A$2:$A$501,"")),""))</f>
        <v/>
      </c>
      <c r="I563" s="29" t="s">
        <v>1671</v>
      </c>
    </row>
    <row r="564" spans="1:9" x14ac:dyDescent="0.4">
      <c r="A564" s="29">
        <v>563</v>
      </c>
      <c r="B564" s="29" t="s">
        <v>1740</v>
      </c>
      <c r="C564" s="29" t="s">
        <v>1803</v>
      </c>
      <c r="D564" s="30"/>
      <c r="E564" s="29"/>
      <c r="F564" s="31">
        <v>46118</v>
      </c>
      <c r="G564" s="29" t="str">
        <f>IF('단어 시험장'!E564="❌","❌","")</f>
        <v/>
      </c>
      <c r="H564" s="35" t="str" cm="1">
        <f t="array" ref="H564">IF(B564="","",IF(COUNTIF($B$2:$B$501,B564)&gt;1,"No."&amp;_xlfn.TEXTJOIN(", ",TRUE,IF(($B$2:$B$501=B564)*(ROW($B$2:$B$501)&lt;&gt;ROW(B564)),""&amp;$A$2:$A$501,"")),""))</f>
        <v/>
      </c>
      <c r="I564" s="29" t="s">
        <v>1671</v>
      </c>
    </row>
    <row r="565" spans="1:9" x14ac:dyDescent="0.4">
      <c r="A565" s="29">
        <v>564</v>
      </c>
      <c r="B565" s="29" t="s">
        <v>1741</v>
      </c>
      <c r="C565" s="29" t="s">
        <v>1804</v>
      </c>
      <c r="D565" s="30"/>
      <c r="E565" s="29"/>
      <c r="F565" s="31">
        <v>46118</v>
      </c>
      <c r="G565" s="29" t="str">
        <f>IF('단어 시험장'!E565="❌","❌","")</f>
        <v/>
      </c>
      <c r="H565" s="35" t="str" cm="1">
        <f t="array" ref="H565">IF(B565="","",IF(COUNTIF($B$2:$B$501,B565)&gt;1,"No."&amp;_xlfn.TEXTJOIN(", ",TRUE,IF(($B$2:$B$501=B565)*(ROW($B$2:$B$501)&lt;&gt;ROW(B565)),""&amp;$A$2:$A$501,"")),""))</f>
        <v/>
      </c>
      <c r="I565" s="29" t="s">
        <v>1671</v>
      </c>
    </row>
    <row r="566" spans="1:9" x14ac:dyDescent="0.4">
      <c r="A566" s="29">
        <v>565</v>
      </c>
      <c r="B566" s="29" t="s">
        <v>1742</v>
      </c>
      <c r="C566" s="29" t="s">
        <v>1805</v>
      </c>
      <c r="D566" s="30"/>
      <c r="E566" s="29"/>
      <c r="F566" s="31">
        <v>46118</v>
      </c>
      <c r="G566" s="29" t="str">
        <f>IF('단어 시험장'!E566="❌","❌","")</f>
        <v/>
      </c>
      <c r="H566" s="35" t="str" cm="1">
        <f t="array" ref="H566">IF(B566="","",IF(COUNTIF($B$2:$B$501,B566)&gt;1,"No."&amp;_xlfn.TEXTJOIN(", ",TRUE,IF(($B$2:$B$501=B566)*(ROW($B$2:$B$501)&lt;&gt;ROW(B566)),""&amp;$A$2:$A$501,"")),""))</f>
        <v/>
      </c>
      <c r="I566" s="29" t="s">
        <v>1671</v>
      </c>
    </row>
    <row r="567" spans="1:9" x14ac:dyDescent="0.4">
      <c r="A567" s="29">
        <v>566</v>
      </c>
      <c r="B567" s="29" t="s">
        <v>1743</v>
      </c>
      <c r="C567" s="29" t="s">
        <v>1806</v>
      </c>
      <c r="D567" s="30"/>
      <c r="E567" s="29"/>
      <c r="F567" s="31">
        <v>46118</v>
      </c>
      <c r="G567" s="29" t="str">
        <f>IF('단어 시험장'!E567="❌","❌","")</f>
        <v/>
      </c>
      <c r="H567" s="35" t="str" cm="1">
        <f t="array" ref="H567">IF(B567="","",IF(COUNTIF($B$2:$B$501,B567)&gt;1,"No."&amp;_xlfn.TEXTJOIN(", ",TRUE,IF(($B$2:$B$501=B567)*(ROW($B$2:$B$501)&lt;&gt;ROW(B567)),""&amp;$A$2:$A$501,"")),""))</f>
        <v/>
      </c>
      <c r="I567" s="29" t="s">
        <v>1671</v>
      </c>
    </row>
    <row r="568" spans="1:9" x14ac:dyDescent="0.4">
      <c r="A568" s="29">
        <v>567</v>
      </c>
      <c r="B568" s="29" t="s">
        <v>1753</v>
      </c>
      <c r="C568" s="29" t="s">
        <v>1754</v>
      </c>
      <c r="D568" s="30"/>
      <c r="E568" s="29"/>
      <c r="F568" s="31">
        <v>46118</v>
      </c>
      <c r="G568" s="29" t="str">
        <f>IF('단어 시험장'!E568="❌","❌","")</f>
        <v/>
      </c>
      <c r="H568" s="35" t="str" cm="1">
        <f t="array" ref="H568">IF(B568="","",IF(COUNTIF($B$2:$B$501,B568)&gt;1,"No."&amp;_xlfn.TEXTJOIN(", ",TRUE,IF(($B$2:$B$501=B568)*(ROW($B$2:$B$501)&lt;&gt;ROW(B568)),""&amp;$A$2:$A$501,"")),""))</f>
        <v/>
      </c>
      <c r="I568" s="29" t="s">
        <v>1671</v>
      </c>
    </row>
    <row r="569" spans="1:9" x14ac:dyDescent="0.4">
      <c r="A569" s="29">
        <v>568</v>
      </c>
      <c r="B569" s="29" t="s">
        <v>1755</v>
      </c>
      <c r="C569" s="29" t="s">
        <v>333</v>
      </c>
      <c r="D569" s="30"/>
      <c r="E569" s="29"/>
      <c r="F569" s="31">
        <v>46118</v>
      </c>
      <c r="G569" s="29" t="str">
        <f>IF('단어 시험장'!E569="❌","❌","")</f>
        <v/>
      </c>
      <c r="H569" s="35" t="str" cm="1">
        <f t="array" ref="H569">IF(B569="","",IF(COUNTIF($B$2:$B$501,B569)&gt;1,"No."&amp;_xlfn.TEXTJOIN(", ",TRUE,IF(($B$2:$B$501=B569)*(ROW($B$2:$B$501)&lt;&gt;ROW(B569)),""&amp;$A$2:$A$501,"")),""))</f>
        <v/>
      </c>
      <c r="I569" s="29" t="s">
        <v>1671</v>
      </c>
    </row>
    <row r="570" spans="1:9" x14ac:dyDescent="0.4">
      <c r="A570" s="29">
        <v>569</v>
      </c>
      <c r="B570" s="29" t="s">
        <v>1807</v>
      </c>
      <c r="C570" s="29" t="s">
        <v>1808</v>
      </c>
      <c r="D570" s="30"/>
      <c r="E570" s="29"/>
      <c r="F570" s="31">
        <v>46119</v>
      </c>
      <c r="G570" s="29" t="str">
        <f>IF('단어 시험장'!E570="❌","❌","")</f>
        <v/>
      </c>
      <c r="H570" s="35" t="str" cm="1">
        <f t="array" ref="H570">IF(B570="","",IF(COUNTIF($B$2:$B$501,B570)&gt;1,"No."&amp;_xlfn.TEXTJOIN(", ",TRUE,IF(($B$2:$B$501=B570)*(ROW($B$2:$B$501)&lt;&gt;ROW(B570)),""&amp;$A$2:$A$501,"")),""))</f>
        <v/>
      </c>
      <c r="I570" s="29" t="s">
        <v>1809</v>
      </c>
    </row>
    <row r="571" spans="1:9" x14ac:dyDescent="0.4">
      <c r="A571" s="29">
        <v>570</v>
      </c>
      <c r="B571" s="29" t="s">
        <v>1811</v>
      </c>
      <c r="C571" s="29" t="s">
        <v>1812</v>
      </c>
      <c r="D571" s="30"/>
      <c r="E571" s="29"/>
      <c r="F571" s="31">
        <v>46119</v>
      </c>
      <c r="G571" s="29" t="str">
        <f>IF('단어 시험장'!E571="❌","❌","")</f>
        <v/>
      </c>
      <c r="H571" s="35" t="str" cm="1">
        <f t="array" ref="H571">IF(B571="","",IF(COUNTIF($B$2:$B$501,B571)&gt;1,"No."&amp;_xlfn.TEXTJOIN(", ",TRUE,IF(($B$2:$B$501=B571)*(ROW($B$2:$B$501)&lt;&gt;ROW(B571)),""&amp;$A$2:$A$501,"")),""))</f>
        <v/>
      </c>
      <c r="I571" s="29" t="s">
        <v>1810</v>
      </c>
    </row>
    <row r="572" spans="1:9" x14ac:dyDescent="0.4">
      <c r="A572" s="29">
        <v>571</v>
      </c>
      <c r="B572" s="29" t="s">
        <v>1813</v>
      </c>
      <c r="C572" s="29" t="s">
        <v>1814</v>
      </c>
      <c r="D572" s="30"/>
      <c r="E572" s="29"/>
      <c r="F572" s="31">
        <v>46119</v>
      </c>
      <c r="G572" s="29" t="str">
        <f>IF('단어 시험장'!E572="❌","❌","")</f>
        <v/>
      </c>
      <c r="H572" s="35" t="str" cm="1">
        <f t="array" ref="H572">IF(B572="","",IF(COUNTIF($B$2:$B$501,B572)&gt;1,"No."&amp;_xlfn.TEXTJOIN(", ",TRUE,IF(($B$2:$B$501=B572)*(ROW($B$2:$B$501)&lt;&gt;ROW(B572)),""&amp;$A$2:$A$501,"")),""))</f>
        <v/>
      </c>
      <c r="I572" s="29" t="s">
        <v>1810</v>
      </c>
    </row>
    <row r="573" spans="1:9" x14ac:dyDescent="0.4">
      <c r="A573" s="29">
        <v>572</v>
      </c>
      <c r="B573" s="29" t="s">
        <v>1815</v>
      </c>
      <c r="C573" s="29" t="s">
        <v>1816</v>
      </c>
      <c r="D573" s="30"/>
      <c r="E573" s="29"/>
      <c r="F573" s="31">
        <v>46119</v>
      </c>
      <c r="G573" s="29" t="str">
        <f>IF('단어 시험장'!E573="❌","❌","")</f>
        <v/>
      </c>
      <c r="H573" s="35" t="str" cm="1">
        <f t="array" ref="H573">IF(B573="","",IF(COUNTIF($B$2:$B$501,B573)&gt;1,"No."&amp;_xlfn.TEXTJOIN(", ",TRUE,IF(($B$2:$B$501=B573)*(ROW($B$2:$B$501)&lt;&gt;ROW(B573)),""&amp;$A$2:$A$501,"")),""))</f>
        <v/>
      </c>
      <c r="I573" s="29" t="s">
        <v>1810</v>
      </c>
    </row>
    <row r="574" spans="1:9" x14ac:dyDescent="0.4">
      <c r="A574" s="29">
        <v>573</v>
      </c>
      <c r="B574" s="29" t="s">
        <v>1817</v>
      </c>
      <c r="C574" s="29" t="s">
        <v>1818</v>
      </c>
      <c r="D574" s="30"/>
      <c r="E574" s="29"/>
      <c r="F574" s="31">
        <v>46119</v>
      </c>
      <c r="G574" s="29" t="str">
        <f>IF('단어 시험장'!E574="❌","❌","")</f>
        <v/>
      </c>
      <c r="H574" s="35" t="str" cm="1">
        <f t="array" ref="H574">IF(B574="","",IF(COUNTIF($B$2:$B$501,B574)&gt;1,"No."&amp;_xlfn.TEXTJOIN(", ",TRUE,IF(($B$2:$B$501=B574)*(ROW($B$2:$B$501)&lt;&gt;ROW(B574)),""&amp;$A$2:$A$501,"")),""))</f>
        <v/>
      </c>
      <c r="I574" s="29" t="s">
        <v>1810</v>
      </c>
    </row>
    <row r="575" spans="1:9" x14ac:dyDescent="0.4">
      <c r="A575" s="29">
        <v>574</v>
      </c>
      <c r="B575" s="29" t="s">
        <v>1819</v>
      </c>
      <c r="C575" s="29" t="s">
        <v>1820</v>
      </c>
      <c r="D575" s="30"/>
      <c r="E575" s="29"/>
      <c r="F575" s="31">
        <v>46119</v>
      </c>
      <c r="G575" s="29" t="str">
        <f>IF('단어 시험장'!E575="❌","❌","")</f>
        <v/>
      </c>
      <c r="H575" s="35" t="str" cm="1">
        <f t="array" ref="H575">IF(B575="","",IF(COUNTIF($B$2:$B$501,B575)&gt;1,"No."&amp;_xlfn.TEXTJOIN(", ",TRUE,IF(($B$2:$B$501=B575)*(ROW($B$2:$B$501)&lt;&gt;ROW(B575)),""&amp;$A$2:$A$501,"")),""))</f>
        <v/>
      </c>
      <c r="I575" s="29" t="s">
        <v>1810</v>
      </c>
    </row>
    <row r="576" spans="1:9" x14ac:dyDescent="0.4">
      <c r="A576" s="29">
        <v>575</v>
      </c>
      <c r="B576" s="29" t="s">
        <v>1821</v>
      </c>
      <c r="C576" s="29" t="s">
        <v>1822</v>
      </c>
      <c r="D576" s="30"/>
      <c r="E576" s="29"/>
      <c r="F576" s="31">
        <v>46119</v>
      </c>
      <c r="G576" s="29" t="str">
        <f>IF('단어 시험장'!E576="❌","❌","")</f>
        <v/>
      </c>
      <c r="H576" s="35" t="str" cm="1">
        <f t="array" ref="H576">IF(B576="","",IF(COUNTIF($B$2:$B$501,B576)&gt;1,"No."&amp;_xlfn.TEXTJOIN(", ",TRUE,IF(($B$2:$B$501=B576)*(ROW($B$2:$B$501)&lt;&gt;ROW(B576)),""&amp;$A$2:$A$501,"")),""))</f>
        <v/>
      </c>
      <c r="I576" s="29" t="s">
        <v>1810</v>
      </c>
    </row>
    <row r="577" spans="1:9" x14ac:dyDescent="0.4">
      <c r="A577" s="29">
        <v>576</v>
      </c>
      <c r="B577" s="29" t="s">
        <v>1823</v>
      </c>
      <c r="C577" s="29" t="s">
        <v>1824</v>
      </c>
      <c r="D577" s="30"/>
      <c r="E577" s="29"/>
      <c r="F577" s="31">
        <v>46119</v>
      </c>
      <c r="G577" s="29" t="str">
        <f>IF('단어 시험장'!E577="❌","❌","")</f>
        <v/>
      </c>
      <c r="H577" s="35" t="str" cm="1">
        <f t="array" ref="H577">IF(B577="","",IF(COUNTIF($B$2:$B$501,B577)&gt;1,"No."&amp;_xlfn.TEXTJOIN(", ",TRUE,IF(($B$2:$B$501=B577)*(ROW($B$2:$B$501)&lt;&gt;ROW(B577)),""&amp;$A$2:$A$501,"")),""))</f>
        <v/>
      </c>
      <c r="I577" s="29" t="s">
        <v>1810</v>
      </c>
    </row>
    <row r="578" spans="1:9" x14ac:dyDescent="0.4">
      <c r="A578" s="29">
        <v>577</v>
      </c>
      <c r="B578" s="29" t="s">
        <v>1825</v>
      </c>
      <c r="C578" s="29" t="s">
        <v>1826</v>
      </c>
      <c r="D578" s="30"/>
      <c r="E578" s="29"/>
      <c r="F578" s="31">
        <v>46119</v>
      </c>
      <c r="G578" s="29" t="str">
        <f>IF('단어 시험장'!E578="❌","❌","")</f>
        <v/>
      </c>
      <c r="H578" s="35" t="str" cm="1">
        <f t="array" ref="H578">IF(B578="","",IF(COUNTIF($B$2:$B$501,B578)&gt;1,"No."&amp;_xlfn.TEXTJOIN(", ",TRUE,IF(($B$2:$B$501=B578)*(ROW($B$2:$B$501)&lt;&gt;ROW(B578)),""&amp;$A$2:$A$501,"")),""))</f>
        <v/>
      </c>
      <c r="I578" s="29" t="s">
        <v>1810</v>
      </c>
    </row>
    <row r="579" spans="1:9" x14ac:dyDescent="0.4">
      <c r="A579" s="29">
        <v>578</v>
      </c>
      <c r="B579" s="29" t="s">
        <v>1827</v>
      </c>
      <c r="C579" s="29" t="s">
        <v>1828</v>
      </c>
      <c r="D579" s="30"/>
      <c r="E579" s="29"/>
      <c r="F579" s="31">
        <v>46119</v>
      </c>
      <c r="G579" s="29" t="str">
        <f>IF('단어 시험장'!E579="❌","❌","")</f>
        <v/>
      </c>
      <c r="H579" s="35" t="str" cm="1">
        <f t="array" ref="H579">IF(B579="","",IF(COUNTIF($B$2:$B$501,B579)&gt;1,"No."&amp;_xlfn.TEXTJOIN(", ",TRUE,IF(($B$2:$B$501=B579)*(ROW($B$2:$B$501)&lt;&gt;ROW(B579)),""&amp;$A$2:$A$501,"")),""))</f>
        <v/>
      </c>
      <c r="I579" s="29" t="s">
        <v>1810</v>
      </c>
    </row>
    <row r="580" spans="1:9" x14ac:dyDescent="0.4">
      <c r="A580" s="29">
        <v>579</v>
      </c>
      <c r="B580" s="29" t="s">
        <v>1829</v>
      </c>
      <c r="C580" s="29" t="s">
        <v>1830</v>
      </c>
      <c r="D580" s="30"/>
      <c r="E580" s="29"/>
      <c r="F580" s="31">
        <v>46119</v>
      </c>
      <c r="G580" s="29" t="str">
        <f>IF('단어 시험장'!E580="❌","❌","")</f>
        <v/>
      </c>
      <c r="H580" s="35" t="str" cm="1">
        <f t="array" ref="H580">IF(B580="","",IF(COUNTIF($B$2:$B$501,B580)&gt;1,"No."&amp;_xlfn.TEXTJOIN(", ",TRUE,IF(($B$2:$B$501=B580)*(ROW($B$2:$B$501)&lt;&gt;ROW(B580)),""&amp;$A$2:$A$501,"")),""))</f>
        <v/>
      </c>
      <c r="I580" s="29" t="s">
        <v>1810</v>
      </c>
    </row>
    <row r="581" spans="1:9" x14ac:dyDescent="0.4">
      <c r="A581" s="29">
        <v>580</v>
      </c>
      <c r="B581" s="29" t="s">
        <v>1831</v>
      </c>
      <c r="C581" s="29" t="s">
        <v>1832</v>
      </c>
      <c r="D581" s="30"/>
      <c r="E581" s="29"/>
      <c r="F581" s="31">
        <v>46119</v>
      </c>
      <c r="G581" s="29" t="str">
        <f>IF('단어 시험장'!E581="❌","❌","")</f>
        <v/>
      </c>
      <c r="H581" s="35" t="str" cm="1">
        <f t="array" ref="H581">IF(B581="","",IF(COUNTIF($B$2:$B$501,B581)&gt;1,"No."&amp;_xlfn.TEXTJOIN(", ",TRUE,IF(($B$2:$B$501=B581)*(ROW($B$2:$B$501)&lt;&gt;ROW(B581)),""&amp;$A$2:$A$501,"")),""))</f>
        <v/>
      </c>
      <c r="I581" s="29" t="s">
        <v>1810</v>
      </c>
    </row>
    <row r="582" spans="1:9" x14ac:dyDescent="0.4">
      <c r="A582" s="29">
        <v>581</v>
      </c>
      <c r="B582" s="29" t="s">
        <v>1833</v>
      </c>
      <c r="C582" s="29" t="s">
        <v>1834</v>
      </c>
      <c r="D582" s="30"/>
      <c r="E582" s="29"/>
      <c r="F582" s="31">
        <v>46119</v>
      </c>
      <c r="G582" s="29" t="str">
        <f>IF('단어 시험장'!E582="❌","❌","")</f>
        <v/>
      </c>
      <c r="H582" s="35" t="str" cm="1">
        <f t="array" ref="H582">IF(B582="","",IF(COUNTIF($B$2:$B$501,B582)&gt;1,"No."&amp;_xlfn.TEXTJOIN(", ",TRUE,IF(($B$2:$B$501=B582)*(ROW($B$2:$B$501)&lt;&gt;ROW(B582)),""&amp;$A$2:$A$501,"")),""))</f>
        <v/>
      </c>
      <c r="I582" s="29" t="s">
        <v>1810</v>
      </c>
    </row>
    <row r="583" spans="1:9" x14ac:dyDescent="0.4">
      <c r="A583" s="29">
        <v>582</v>
      </c>
      <c r="B583" s="29" t="s">
        <v>1835</v>
      </c>
      <c r="C583" s="29" t="s">
        <v>1836</v>
      </c>
      <c r="D583" s="30"/>
      <c r="E583" s="29"/>
      <c r="F583" s="31">
        <v>46119</v>
      </c>
      <c r="G583" s="29" t="str">
        <f>IF('단어 시험장'!E583="❌","❌","")</f>
        <v/>
      </c>
      <c r="H583" s="35" t="str" cm="1">
        <f t="array" ref="H583">IF(B583="","",IF(COUNTIF($B$2:$B$501,B583)&gt;1,"No."&amp;_xlfn.TEXTJOIN(", ",TRUE,IF(($B$2:$B$501=B583)*(ROW($B$2:$B$501)&lt;&gt;ROW(B583)),""&amp;$A$2:$A$501,"")),""))</f>
        <v/>
      </c>
      <c r="I583" s="29" t="s">
        <v>1810</v>
      </c>
    </row>
    <row r="584" spans="1:9" x14ac:dyDescent="0.4">
      <c r="A584" s="29">
        <v>583</v>
      </c>
      <c r="B584" s="29" t="s">
        <v>1837</v>
      </c>
      <c r="C584" s="29" t="s">
        <v>1838</v>
      </c>
      <c r="D584" s="30"/>
      <c r="E584" s="29"/>
      <c r="F584" s="31">
        <v>46119</v>
      </c>
      <c r="G584" s="29" t="str">
        <f>IF('단어 시험장'!E584="❌","❌","")</f>
        <v/>
      </c>
      <c r="H584" s="35" t="str" cm="1">
        <f t="array" ref="H584">IF(B584="","",IF(COUNTIF($B$2:$B$501,B584)&gt;1,"No."&amp;_xlfn.TEXTJOIN(", ",TRUE,IF(($B$2:$B$501=B584)*(ROW($B$2:$B$501)&lt;&gt;ROW(B584)),""&amp;$A$2:$A$501,"")),""))</f>
        <v/>
      </c>
      <c r="I584" s="29" t="s">
        <v>1810</v>
      </c>
    </row>
    <row r="585" spans="1:9" x14ac:dyDescent="0.4">
      <c r="A585" s="29">
        <v>584</v>
      </c>
      <c r="B585" s="29" t="s">
        <v>1839</v>
      </c>
      <c r="C585" s="29" t="s">
        <v>1840</v>
      </c>
      <c r="D585" s="30"/>
      <c r="E585" s="29"/>
      <c r="F585" s="31">
        <v>46119</v>
      </c>
      <c r="G585" s="29" t="str">
        <f>IF('단어 시험장'!E585="❌","❌","")</f>
        <v/>
      </c>
      <c r="H585" s="35" t="str" cm="1">
        <f t="array" ref="H585">IF(B585="","",IF(COUNTIF($B$2:$B$501,B585)&gt;1,"No."&amp;_xlfn.TEXTJOIN(", ",TRUE,IF(($B$2:$B$501=B585)*(ROW($B$2:$B$501)&lt;&gt;ROW(B585)),""&amp;$A$2:$A$501,"")),""))</f>
        <v/>
      </c>
      <c r="I585" s="29" t="s">
        <v>1810</v>
      </c>
    </row>
    <row r="586" spans="1:9" x14ac:dyDescent="0.4">
      <c r="A586" s="29">
        <v>585</v>
      </c>
      <c r="B586" s="29" t="s">
        <v>1841</v>
      </c>
      <c r="C586" s="29" t="s">
        <v>1842</v>
      </c>
      <c r="D586" s="30"/>
      <c r="E586" s="29"/>
      <c r="F586" s="31">
        <v>46119</v>
      </c>
      <c r="G586" s="29" t="str">
        <f>IF('단어 시험장'!E586="❌","❌","")</f>
        <v/>
      </c>
      <c r="H586" s="35" t="str" cm="1">
        <f t="array" ref="H586">IF(B586="","",IF(COUNTIF($B$2:$B$501,B586)&gt;1,"No."&amp;_xlfn.TEXTJOIN(", ",TRUE,IF(($B$2:$B$501=B586)*(ROW($B$2:$B$501)&lt;&gt;ROW(B586)),""&amp;$A$2:$A$501,"")),""))</f>
        <v/>
      </c>
      <c r="I586" s="29" t="s">
        <v>1810</v>
      </c>
    </row>
    <row r="587" spans="1:9" x14ac:dyDescent="0.4">
      <c r="A587" s="29">
        <v>586</v>
      </c>
      <c r="B587" s="29" t="s">
        <v>1843</v>
      </c>
      <c r="C587" s="29" t="s">
        <v>1844</v>
      </c>
      <c r="D587" s="30"/>
      <c r="E587" s="29"/>
      <c r="F587" s="31">
        <v>46119</v>
      </c>
      <c r="G587" s="29" t="str">
        <f>IF('단어 시험장'!E587="❌","❌","")</f>
        <v/>
      </c>
      <c r="H587" s="35" t="str" cm="1">
        <f t="array" ref="H587">IF(B587="","",IF(COUNTIF($B$2:$B$501,B587)&gt;1,"No."&amp;_xlfn.TEXTJOIN(", ",TRUE,IF(($B$2:$B$501=B587)*(ROW($B$2:$B$501)&lt;&gt;ROW(B587)),""&amp;$A$2:$A$501,"")),""))</f>
        <v/>
      </c>
      <c r="I587" s="29" t="s">
        <v>1810</v>
      </c>
    </row>
    <row r="588" spans="1:9" x14ac:dyDescent="0.4">
      <c r="A588" s="29">
        <v>587</v>
      </c>
      <c r="B588" s="29" t="s">
        <v>1845</v>
      </c>
      <c r="C588" s="29" t="s">
        <v>1846</v>
      </c>
      <c r="D588" s="30"/>
      <c r="E588" s="29"/>
      <c r="F588" s="31">
        <v>46119</v>
      </c>
      <c r="G588" s="29" t="str">
        <f>IF('단어 시험장'!E588="❌","❌","")</f>
        <v/>
      </c>
      <c r="H588" s="35" t="str" cm="1">
        <f t="array" ref="H588">IF(B588="","",IF(COUNTIF($B$2:$B$501,B588)&gt;1,"No."&amp;_xlfn.TEXTJOIN(", ",TRUE,IF(($B$2:$B$501=B588)*(ROW($B$2:$B$501)&lt;&gt;ROW(B588)),""&amp;$A$2:$A$501,"")),""))</f>
        <v/>
      </c>
      <c r="I588" s="29" t="s">
        <v>1810</v>
      </c>
    </row>
    <row r="589" spans="1:9" x14ac:dyDescent="0.4">
      <c r="A589" s="29">
        <v>588</v>
      </c>
      <c r="B589" s="29" t="s">
        <v>1847</v>
      </c>
      <c r="C589" s="29" t="s">
        <v>1848</v>
      </c>
      <c r="D589" s="30"/>
      <c r="E589" s="29"/>
      <c r="F589" s="31">
        <v>46119</v>
      </c>
      <c r="G589" s="29" t="str">
        <f>IF('단어 시험장'!E589="❌","❌","")</f>
        <v/>
      </c>
      <c r="H589" s="35" t="str" cm="1">
        <f t="array" ref="H589">IF(B589="","",IF(COUNTIF($B$2:$B$501,B589)&gt;1,"No."&amp;_xlfn.TEXTJOIN(", ",TRUE,IF(($B$2:$B$501=B589)*(ROW($B$2:$B$501)&lt;&gt;ROW(B589)),""&amp;$A$2:$A$501,"")),""))</f>
        <v/>
      </c>
      <c r="I589" s="29" t="s">
        <v>1810</v>
      </c>
    </row>
    <row r="590" spans="1:9" x14ac:dyDescent="0.4">
      <c r="A590" s="29">
        <v>589</v>
      </c>
      <c r="B590" s="29" t="s">
        <v>1849</v>
      </c>
      <c r="C590" s="29" t="s">
        <v>1850</v>
      </c>
      <c r="D590" s="30"/>
      <c r="E590" s="29"/>
      <c r="F590" s="31">
        <v>46119</v>
      </c>
      <c r="G590" s="29" t="str">
        <f>IF('단어 시험장'!E590="❌","❌","")</f>
        <v/>
      </c>
      <c r="H590" s="35" t="str" cm="1">
        <f t="array" ref="H590">IF(B590="","",IF(COUNTIF($B$2:$B$501,B590)&gt;1,"No."&amp;_xlfn.TEXTJOIN(", ",TRUE,IF(($B$2:$B$501=B590)*(ROW($B$2:$B$501)&lt;&gt;ROW(B590)),""&amp;$A$2:$A$501,"")),""))</f>
        <v/>
      </c>
      <c r="I590" s="29" t="s">
        <v>1810</v>
      </c>
    </row>
    <row r="591" spans="1:9" x14ac:dyDescent="0.4">
      <c r="A591" s="29">
        <v>590</v>
      </c>
      <c r="B591" s="29" t="s">
        <v>1851</v>
      </c>
      <c r="C591" s="29" t="s">
        <v>1852</v>
      </c>
      <c r="D591" s="30"/>
      <c r="E591" s="29"/>
      <c r="F591" s="31">
        <v>46119</v>
      </c>
      <c r="G591" s="29" t="str">
        <f>IF('단어 시험장'!E591="❌","❌","")</f>
        <v/>
      </c>
      <c r="H591" s="35" t="str" cm="1">
        <f t="array" ref="H591">IF(B591="","",IF(COUNTIF($B$2:$B$501,B591)&gt;1,"No."&amp;_xlfn.TEXTJOIN(", ",TRUE,IF(($B$2:$B$501=B591)*(ROW($B$2:$B$501)&lt;&gt;ROW(B591)),""&amp;$A$2:$A$501,"")),""))</f>
        <v/>
      </c>
      <c r="I591" s="29" t="s">
        <v>1810</v>
      </c>
    </row>
    <row r="592" spans="1:9" x14ac:dyDescent="0.4">
      <c r="A592" s="29">
        <v>591</v>
      </c>
      <c r="B592" s="29" t="s">
        <v>1853</v>
      </c>
      <c r="C592" s="29" t="s">
        <v>1854</v>
      </c>
      <c r="D592" s="30"/>
      <c r="E592" s="29"/>
      <c r="F592" s="31">
        <v>46119</v>
      </c>
      <c r="G592" s="29" t="str">
        <f>IF('단어 시험장'!E592="❌","❌","")</f>
        <v/>
      </c>
      <c r="H592" s="35" t="str" cm="1">
        <f t="array" ref="H592">IF(B592="","",IF(COUNTIF($B$2:$B$501,B592)&gt;1,"No."&amp;_xlfn.TEXTJOIN(", ",TRUE,IF(($B$2:$B$501=B592)*(ROW($B$2:$B$501)&lt;&gt;ROW(B592)),""&amp;$A$2:$A$501,"")),""))</f>
        <v/>
      </c>
      <c r="I592" s="29" t="s">
        <v>1810</v>
      </c>
    </row>
    <row r="593" spans="1:9" x14ac:dyDescent="0.4">
      <c r="A593" s="29">
        <v>592</v>
      </c>
      <c r="B593" s="29" t="s">
        <v>393</v>
      </c>
      <c r="C593" s="29" t="s">
        <v>1857</v>
      </c>
      <c r="D593" s="30"/>
      <c r="E593" s="29"/>
      <c r="F593" s="31">
        <v>46121</v>
      </c>
      <c r="G593" s="29" t="str">
        <f>IF('단어 시험장'!E593="❌","❌","")</f>
        <v/>
      </c>
      <c r="H593" s="35" t="str" cm="1">
        <f t="array" ref="H593">IF(B593="","",IF(COUNTIF($B$2:$B$501,B593)&gt;1,"No."&amp;_xlfn.TEXTJOIN(", ",TRUE,IF(($B$2:$B$501=B593)*(ROW($B$2:$B$501)&lt;&gt;ROW(B593)),""&amp;$A$2:$A$501,"")),""))</f>
        <v/>
      </c>
      <c r="I593" s="29" t="s">
        <v>1433</v>
      </c>
    </row>
    <row r="594" spans="1:9" x14ac:dyDescent="0.4">
      <c r="A594" s="29">
        <v>593</v>
      </c>
      <c r="B594" s="29" t="s">
        <v>1861</v>
      </c>
      <c r="C594" s="29" t="s">
        <v>1862</v>
      </c>
      <c r="D594" s="30"/>
      <c r="E594" s="29"/>
      <c r="F594" s="31"/>
      <c r="G594" s="29" t="str">
        <f>IF('단어 시험장'!E594="❌","❌","")</f>
        <v/>
      </c>
      <c r="H594" s="35" t="str" cm="1">
        <f t="array" ref="H594">IF(B594="","",IF(COUNTIF($B$2:$B$501,B594)&gt;1,"No."&amp;_xlfn.TEXTJOIN(", ",TRUE,IF(($B$2:$B$501=B594)*(ROW($B$2:$B$501)&lt;&gt;ROW(B594)),""&amp;$A$2:$A$501,"")),""))</f>
        <v/>
      </c>
      <c r="I594" s="29"/>
    </row>
    <row r="595" spans="1:9" x14ac:dyDescent="0.4">
      <c r="A595" s="29">
        <v>594</v>
      </c>
      <c r="B595" s="29" t="s">
        <v>1869</v>
      </c>
      <c r="C595" s="29" t="s">
        <v>1870</v>
      </c>
      <c r="D595" s="30"/>
      <c r="E595" s="29"/>
      <c r="F595" s="31"/>
      <c r="G595" s="29" t="str">
        <f>IF('단어 시험장'!E595="❌","❌","")</f>
        <v/>
      </c>
      <c r="H595" s="35" t="str" cm="1">
        <f t="array" ref="H595">IF(B595="","",IF(COUNTIF($B$2:$B$501,B595)&gt;1,"No."&amp;_xlfn.TEXTJOIN(", ",TRUE,IF(($B$2:$B$501=B595)*(ROW($B$2:$B$501)&lt;&gt;ROW(B595)),""&amp;$A$2:$A$501,"")),""))</f>
        <v/>
      </c>
      <c r="I595" s="29"/>
    </row>
    <row r="596" spans="1:9" x14ac:dyDescent="0.4">
      <c r="A596" s="29">
        <v>595</v>
      </c>
      <c r="B596" s="29" t="s">
        <v>1875</v>
      </c>
      <c r="C596" s="29" t="s">
        <v>1876</v>
      </c>
      <c r="D596" s="30"/>
      <c r="E596" s="29"/>
      <c r="F596" s="31"/>
      <c r="G596" s="29" t="str">
        <f>IF('단어 시험장'!E596="❌","❌","")</f>
        <v/>
      </c>
      <c r="H596" s="35" t="str" cm="1">
        <f t="array" ref="H596">IF(B596="","",IF(COUNTIF($B$2:$B$501,B596)&gt;1,"No."&amp;_xlfn.TEXTJOIN(", ",TRUE,IF(($B$2:$B$501=B596)*(ROW($B$2:$B$501)&lt;&gt;ROW(B596)),""&amp;$A$2:$A$501,"")),""))</f>
        <v/>
      </c>
      <c r="I596" s="29"/>
    </row>
    <row r="597" spans="1:9" x14ac:dyDescent="0.4">
      <c r="A597" s="29">
        <v>596</v>
      </c>
      <c r="B597" s="29" t="s">
        <v>1883</v>
      </c>
      <c r="C597" s="29" t="s">
        <v>1884</v>
      </c>
      <c r="D597" s="30"/>
      <c r="E597" s="29"/>
      <c r="F597" s="31"/>
      <c r="G597" s="29" t="str">
        <f>IF('단어 시험장'!E597="❌","❌","")</f>
        <v/>
      </c>
      <c r="H597" s="35" t="str" cm="1">
        <f t="array" ref="H597">IF(B597="","",IF(COUNTIF($B$2:$B$501,B597)&gt;1,"No."&amp;_xlfn.TEXTJOIN(", ",TRUE,IF(($B$2:$B$501=B597)*(ROW($B$2:$B$501)&lt;&gt;ROW(B597)),""&amp;$A$2:$A$501,"")),""))</f>
        <v/>
      </c>
      <c r="I597" s="29"/>
    </row>
    <row r="598" spans="1:9" x14ac:dyDescent="0.4">
      <c r="A598" s="29">
        <v>597</v>
      </c>
      <c r="B598" s="29" t="s">
        <v>1890</v>
      </c>
      <c r="C598" s="29" t="s">
        <v>1891</v>
      </c>
      <c r="D598" s="30"/>
      <c r="E598" s="29"/>
      <c r="F598" s="31"/>
      <c r="G598" s="29" t="str">
        <f>IF('단어 시험장'!E598="❌","❌","")</f>
        <v/>
      </c>
      <c r="H598" s="35" t="str" cm="1">
        <f t="array" ref="H598">IF(B598="","",IF(COUNTIF($B$2:$B$501,B598)&gt;1,"No."&amp;_xlfn.TEXTJOIN(", ",TRUE,IF(($B$2:$B$501=B598)*(ROW($B$2:$B$501)&lt;&gt;ROW(B598)),""&amp;$A$2:$A$501,"")),""))</f>
        <v/>
      </c>
      <c r="I598" s="29"/>
    </row>
    <row r="599" spans="1:9" x14ac:dyDescent="0.4">
      <c r="A599" s="29">
        <v>598</v>
      </c>
      <c r="B599" s="29" t="s">
        <v>1902</v>
      </c>
      <c r="C599" s="29" t="s">
        <v>1903</v>
      </c>
      <c r="D599" s="30"/>
      <c r="E599" s="29"/>
      <c r="F599" s="31"/>
      <c r="G599" s="29" t="str">
        <f>IF('단어 시험장'!E599="❌","❌","")</f>
        <v/>
      </c>
      <c r="H599" s="35" t="str" cm="1">
        <f t="array" ref="H599">IF(B599="","",IF(COUNTIF($B$2:$B$501,B599)&gt;1,"No."&amp;_xlfn.TEXTJOIN(", ",TRUE,IF(($B$2:$B$501=B599)*(ROW($B$2:$B$501)&lt;&gt;ROW(B599)),""&amp;$A$2:$A$501,"")),""))</f>
        <v/>
      </c>
      <c r="I599" s="29"/>
    </row>
    <row r="600" spans="1:9" x14ac:dyDescent="0.4">
      <c r="A600" s="29">
        <v>599</v>
      </c>
      <c r="B600" s="29" t="s">
        <v>1544</v>
      </c>
      <c r="C600" s="29" t="s">
        <v>1905</v>
      </c>
      <c r="D600" s="30"/>
      <c r="E600" s="29"/>
      <c r="F600" s="31"/>
      <c r="G600" s="29" t="str">
        <f>IF('단어 시험장'!E600="❌","❌","")</f>
        <v/>
      </c>
      <c r="H600" s="35" t="str" cm="1">
        <f t="array" ref="H600">IF(B600="","",IF(COUNTIF($B$2:$B$501,B600)&gt;1,"No."&amp;_xlfn.TEXTJOIN(", ",TRUE,IF(($B$2:$B$501=B600)*(ROW($B$2:$B$501)&lt;&gt;ROW(B600)),""&amp;$A$2:$A$501,"")),""))</f>
        <v/>
      </c>
      <c r="I600" s="29"/>
    </row>
    <row r="601" spans="1:9" x14ac:dyDescent="0.4">
      <c r="A601" s="29">
        <v>600</v>
      </c>
      <c r="B601" s="29"/>
      <c r="C601" s="29"/>
      <c r="D601" s="30"/>
      <c r="E601" s="29"/>
      <c r="F601" s="31"/>
      <c r="G601" s="29" t="str">
        <f>IF('단어 시험장'!E601="❌","❌","")</f>
        <v/>
      </c>
      <c r="H601" s="35" t="str" cm="1">
        <f t="array" ref="H601">IF(B601="","",IF(COUNTIF($B$2:$B$501,B601)&gt;1,"No."&amp;_xlfn.TEXTJOIN(", ",TRUE,IF(($B$2:$B$501=B601)*(ROW($B$2:$B$501)&lt;&gt;ROW(B601)),""&amp;$A$2:$A$501,"")),""))</f>
        <v/>
      </c>
      <c r="I601" s="29"/>
    </row>
    <row r="602" spans="1:9" x14ac:dyDescent="0.4">
      <c r="A602" s="29">
        <v>601</v>
      </c>
      <c r="B602" s="29"/>
      <c r="C602" s="29"/>
      <c r="D602" s="30"/>
      <c r="E602" s="29"/>
      <c r="F602" s="31"/>
      <c r="G602" s="29" t="str">
        <f>IF('단어 시험장'!E602="❌","❌","")</f>
        <v/>
      </c>
      <c r="H602" s="35" t="str" cm="1">
        <f t="array" ref="H602">IF(B602="","",IF(COUNTIF($B$2:$B$501,B602)&gt;1,"No."&amp;_xlfn.TEXTJOIN(", ",TRUE,IF(($B$2:$B$501=B602)*(ROW($B$2:$B$501)&lt;&gt;ROW(B602)),""&amp;$A$2:$A$501,"")),""))</f>
        <v/>
      </c>
      <c r="I602" s="29"/>
    </row>
    <row r="603" spans="1:9" x14ac:dyDescent="0.4">
      <c r="A603" s="29">
        <v>602</v>
      </c>
      <c r="B603" s="29"/>
      <c r="C603" s="29"/>
      <c r="D603" s="30"/>
      <c r="E603" s="29"/>
      <c r="F603" s="31"/>
      <c r="G603" s="29" t="str">
        <f>IF('단어 시험장'!E603="❌","❌","")</f>
        <v/>
      </c>
      <c r="H603" s="35" t="str" cm="1">
        <f t="array" ref="H603">IF(B603="","",IF(COUNTIF($B$2:$B$501,B603)&gt;1,"No."&amp;_xlfn.TEXTJOIN(", ",TRUE,IF(($B$2:$B$501=B603)*(ROW($B$2:$B$501)&lt;&gt;ROW(B603)),""&amp;$A$2:$A$501,"")),""))</f>
        <v/>
      </c>
      <c r="I603" s="29"/>
    </row>
    <row r="604" spans="1:9" x14ac:dyDescent="0.4">
      <c r="A604" s="29">
        <v>603</v>
      </c>
      <c r="B604" s="29"/>
      <c r="C604" s="29"/>
      <c r="D604" s="30"/>
      <c r="E604" s="29"/>
      <c r="F604" s="31"/>
      <c r="G604" s="29" t="str">
        <f>IF('단어 시험장'!E604="❌","❌","")</f>
        <v/>
      </c>
      <c r="H604" s="35" t="str" cm="1">
        <f t="array" ref="H604">IF(B604="","",IF(COUNTIF($B$2:$B$501,B604)&gt;1,"No."&amp;_xlfn.TEXTJOIN(", ",TRUE,IF(($B$2:$B$501=B604)*(ROW($B$2:$B$501)&lt;&gt;ROW(B604)),""&amp;$A$2:$A$501,"")),""))</f>
        <v/>
      </c>
      <c r="I604" s="29"/>
    </row>
    <row r="605" spans="1:9" x14ac:dyDescent="0.4">
      <c r="A605" s="29">
        <v>604</v>
      </c>
      <c r="B605" s="29"/>
      <c r="C605" s="29"/>
      <c r="D605" s="30"/>
      <c r="E605" s="29"/>
      <c r="F605" s="31"/>
      <c r="G605" s="29" t="str">
        <f>IF('단어 시험장'!E605="❌","❌","")</f>
        <v/>
      </c>
      <c r="H605" s="35" t="str" cm="1">
        <f t="array" ref="H605">IF(B605="","",IF(COUNTIF($B$2:$B$501,B605)&gt;1,"No."&amp;_xlfn.TEXTJOIN(", ",TRUE,IF(($B$2:$B$501=B605)*(ROW($B$2:$B$501)&lt;&gt;ROW(B605)),""&amp;$A$2:$A$501,"")),""))</f>
        <v/>
      </c>
      <c r="I605" s="29"/>
    </row>
    <row r="606" spans="1:9" x14ac:dyDescent="0.4">
      <c r="A606" s="29">
        <v>605</v>
      </c>
      <c r="B606" s="29"/>
      <c r="C606" s="29"/>
      <c r="D606" s="30"/>
      <c r="E606" s="29"/>
      <c r="F606" s="31"/>
      <c r="G606" s="29" t="str">
        <f>IF('단어 시험장'!E606="❌","❌","")</f>
        <v/>
      </c>
      <c r="H606" s="35" t="str" cm="1">
        <f t="array" ref="H606">IF(B606="","",IF(COUNTIF($B$2:$B$501,B606)&gt;1,"No."&amp;_xlfn.TEXTJOIN(", ",TRUE,IF(($B$2:$B$501=B606)*(ROW($B$2:$B$501)&lt;&gt;ROW(B606)),""&amp;$A$2:$A$501,"")),""))</f>
        <v/>
      </c>
      <c r="I606" s="29"/>
    </row>
    <row r="607" spans="1:9" x14ac:dyDescent="0.4">
      <c r="A607" s="29">
        <v>606</v>
      </c>
      <c r="B607" s="29"/>
      <c r="C607" s="29"/>
      <c r="D607" s="30"/>
      <c r="E607" s="29"/>
      <c r="F607" s="31"/>
      <c r="G607" s="29" t="str">
        <f>IF('단어 시험장'!E607="❌","❌","")</f>
        <v/>
      </c>
      <c r="H607" s="35" t="str" cm="1">
        <f t="array" ref="H607">IF(B607="","",IF(COUNTIF($B$2:$B$501,B607)&gt;1,"No."&amp;_xlfn.TEXTJOIN(", ",TRUE,IF(($B$2:$B$501=B607)*(ROW($B$2:$B$501)&lt;&gt;ROW(B607)),""&amp;$A$2:$A$501,"")),""))</f>
        <v/>
      </c>
      <c r="I607" s="29"/>
    </row>
    <row r="608" spans="1:9" x14ac:dyDescent="0.4">
      <c r="A608" s="29">
        <v>607</v>
      </c>
      <c r="B608" s="29"/>
      <c r="C608" s="29"/>
      <c r="D608" s="30"/>
      <c r="E608" s="29"/>
      <c r="F608" s="31"/>
      <c r="G608" s="29" t="str">
        <f>IF('단어 시험장'!E608="❌","❌","")</f>
        <v/>
      </c>
      <c r="H608" s="35" t="str" cm="1">
        <f t="array" ref="H608">IF(B608="","",IF(COUNTIF($B$2:$B$501,B608)&gt;1,"No."&amp;_xlfn.TEXTJOIN(", ",TRUE,IF(($B$2:$B$501=B608)*(ROW($B$2:$B$501)&lt;&gt;ROW(B608)),""&amp;$A$2:$A$501,"")),""))</f>
        <v/>
      </c>
      <c r="I608" s="29"/>
    </row>
    <row r="609" spans="1:9" x14ac:dyDescent="0.4">
      <c r="A609" s="29">
        <v>608</v>
      </c>
      <c r="B609" s="29"/>
      <c r="C609" s="29"/>
      <c r="D609" s="30"/>
      <c r="E609" s="29"/>
      <c r="F609" s="31"/>
      <c r="G609" s="29" t="str">
        <f>IF('단어 시험장'!E609="❌","❌","")</f>
        <v/>
      </c>
      <c r="H609" s="35" t="str" cm="1">
        <f t="array" ref="H609">IF(B609="","",IF(COUNTIF($B$2:$B$501,B609)&gt;1,"No."&amp;_xlfn.TEXTJOIN(", ",TRUE,IF(($B$2:$B$501=B609)*(ROW($B$2:$B$501)&lt;&gt;ROW(B609)),""&amp;$A$2:$A$501,"")),""))</f>
        <v/>
      </c>
      <c r="I609" s="29"/>
    </row>
    <row r="610" spans="1:9" x14ac:dyDescent="0.4">
      <c r="A610" s="29">
        <v>609</v>
      </c>
      <c r="B610" s="29"/>
      <c r="C610" s="29"/>
      <c r="D610" s="30"/>
      <c r="E610" s="29"/>
      <c r="F610" s="31"/>
      <c r="G610" s="29" t="str">
        <f>IF('단어 시험장'!E610="❌","❌","")</f>
        <v/>
      </c>
      <c r="H610" s="35" t="str" cm="1">
        <f t="array" ref="H610">IF(B610="","",IF(COUNTIF($B$2:$B$501,B610)&gt;1,"No."&amp;_xlfn.TEXTJOIN(", ",TRUE,IF(($B$2:$B$501=B610)*(ROW($B$2:$B$501)&lt;&gt;ROW(B610)),""&amp;$A$2:$A$501,"")),""))</f>
        <v/>
      </c>
      <c r="I610" s="29"/>
    </row>
    <row r="611" spans="1:9" x14ac:dyDescent="0.4">
      <c r="A611" s="29">
        <v>610</v>
      </c>
      <c r="B611" s="29"/>
      <c r="C611" s="29"/>
      <c r="D611" s="30"/>
      <c r="E611" s="29"/>
      <c r="F611" s="31"/>
      <c r="G611" s="29" t="str">
        <f>IF('단어 시험장'!E611="❌","❌","")</f>
        <v/>
      </c>
      <c r="H611" s="35" t="str" cm="1">
        <f t="array" ref="H611">IF(B611="","",IF(COUNTIF($B$2:$B$501,B611)&gt;1,"No."&amp;_xlfn.TEXTJOIN(", ",TRUE,IF(($B$2:$B$501=B611)*(ROW($B$2:$B$501)&lt;&gt;ROW(B611)),""&amp;$A$2:$A$501,"")),""))</f>
        <v/>
      </c>
      <c r="I611" s="29"/>
    </row>
    <row r="612" spans="1:9" x14ac:dyDescent="0.4">
      <c r="A612" s="29">
        <v>611</v>
      </c>
      <c r="B612" s="29"/>
      <c r="C612" s="29"/>
      <c r="D612" s="30"/>
      <c r="E612" s="29"/>
      <c r="F612" s="31"/>
      <c r="G612" s="29" t="str">
        <f>IF('단어 시험장'!E612="❌","❌","")</f>
        <v/>
      </c>
      <c r="H612" s="35" t="str" cm="1">
        <f t="array" ref="H612">IF(B612="","",IF(COUNTIF($B$2:$B$501,B612)&gt;1,"No."&amp;_xlfn.TEXTJOIN(", ",TRUE,IF(($B$2:$B$501=B612)*(ROW($B$2:$B$501)&lt;&gt;ROW(B612)),""&amp;$A$2:$A$501,"")),""))</f>
        <v/>
      </c>
      <c r="I612" s="29"/>
    </row>
    <row r="613" spans="1:9" x14ac:dyDescent="0.4">
      <c r="A613" s="29">
        <v>612</v>
      </c>
      <c r="B613" s="29"/>
      <c r="C613" s="29"/>
      <c r="D613" s="30"/>
      <c r="E613" s="29"/>
      <c r="F613" s="31"/>
      <c r="G613" s="29" t="str">
        <f>IF('단어 시험장'!E613="❌","❌","")</f>
        <v/>
      </c>
      <c r="H613" s="35" t="str" cm="1">
        <f t="array" ref="H613">IF(B613="","",IF(COUNTIF($B$2:$B$501,B613)&gt;1,"No."&amp;_xlfn.TEXTJOIN(", ",TRUE,IF(($B$2:$B$501=B613)*(ROW($B$2:$B$501)&lt;&gt;ROW(B613)),""&amp;$A$2:$A$501,"")),""))</f>
        <v/>
      </c>
      <c r="I613" s="29"/>
    </row>
    <row r="614" spans="1:9" x14ac:dyDescent="0.4">
      <c r="A614" s="29">
        <v>613</v>
      </c>
      <c r="B614" s="29"/>
      <c r="C614" s="29"/>
      <c r="D614" s="30"/>
      <c r="E614" s="29"/>
      <c r="F614" s="31"/>
      <c r="G614" s="29" t="str">
        <f>IF('단어 시험장'!E614="❌","❌","")</f>
        <v/>
      </c>
      <c r="H614" s="35" t="str" cm="1">
        <f t="array" ref="H614">IF(B614="","",IF(COUNTIF($B$2:$B$501,B614)&gt;1,"No."&amp;_xlfn.TEXTJOIN(", ",TRUE,IF(($B$2:$B$501=B614)*(ROW($B$2:$B$501)&lt;&gt;ROW(B614)),""&amp;$A$2:$A$501,"")),""))</f>
        <v/>
      </c>
      <c r="I614" s="29"/>
    </row>
    <row r="615" spans="1:9" x14ac:dyDescent="0.4">
      <c r="A615" s="29">
        <v>614</v>
      </c>
      <c r="B615" s="29"/>
      <c r="C615" s="29"/>
      <c r="D615" s="30"/>
      <c r="E615" s="29"/>
      <c r="F615" s="31"/>
      <c r="G615" s="29" t="str">
        <f>IF('단어 시험장'!E615="❌","❌","")</f>
        <v/>
      </c>
      <c r="H615" s="35" t="str" cm="1">
        <f t="array" ref="H615">IF(B615="","",IF(COUNTIF($B$2:$B$501,B615)&gt;1,"No."&amp;_xlfn.TEXTJOIN(", ",TRUE,IF(($B$2:$B$501=B615)*(ROW($B$2:$B$501)&lt;&gt;ROW(B615)),""&amp;$A$2:$A$501,"")),""))</f>
        <v/>
      </c>
      <c r="I615" s="29"/>
    </row>
    <row r="616" spans="1:9" x14ac:dyDescent="0.4">
      <c r="A616" s="29">
        <v>615</v>
      </c>
      <c r="B616" s="29"/>
      <c r="C616" s="29"/>
      <c r="D616" s="30"/>
      <c r="E616" s="29"/>
      <c r="F616" s="31"/>
      <c r="G616" s="29" t="str">
        <f>IF('단어 시험장'!E616="❌","❌","")</f>
        <v/>
      </c>
      <c r="H616" s="35" t="str" cm="1">
        <f t="array" ref="H616">IF(B616="","",IF(COUNTIF($B$2:$B$501,B616)&gt;1,"No."&amp;_xlfn.TEXTJOIN(", ",TRUE,IF(($B$2:$B$501=B616)*(ROW($B$2:$B$501)&lt;&gt;ROW(B616)),""&amp;$A$2:$A$501,"")),""))</f>
        <v/>
      </c>
      <c r="I616" s="29"/>
    </row>
    <row r="617" spans="1:9" x14ac:dyDescent="0.4">
      <c r="A617" s="29">
        <v>616</v>
      </c>
      <c r="B617" s="29"/>
      <c r="C617" s="29"/>
      <c r="D617" s="30"/>
      <c r="E617" s="29"/>
      <c r="F617" s="31"/>
      <c r="G617" s="29" t="str">
        <f>IF('단어 시험장'!E617="❌","❌","")</f>
        <v/>
      </c>
      <c r="H617" s="35" t="str" cm="1">
        <f t="array" ref="H617">IF(B617="","",IF(COUNTIF($B$2:$B$501,B617)&gt;1,"No."&amp;_xlfn.TEXTJOIN(", ",TRUE,IF(($B$2:$B$501=B617)*(ROW($B$2:$B$501)&lt;&gt;ROW(B617)),""&amp;$A$2:$A$501,"")),""))</f>
        <v/>
      </c>
      <c r="I617" s="29"/>
    </row>
    <row r="618" spans="1:9" x14ac:dyDescent="0.4">
      <c r="A618" s="29">
        <v>617</v>
      </c>
      <c r="B618" s="29"/>
      <c r="C618" s="29"/>
      <c r="D618" s="30"/>
      <c r="E618" s="29"/>
      <c r="F618" s="31"/>
      <c r="G618" s="29" t="str">
        <f>IF('단어 시험장'!E618="❌","❌","")</f>
        <v/>
      </c>
      <c r="H618" s="35" t="str" cm="1">
        <f t="array" ref="H618">IF(B618="","",IF(COUNTIF($B$2:$B$501,B618)&gt;1,"No."&amp;_xlfn.TEXTJOIN(", ",TRUE,IF(($B$2:$B$501=B618)*(ROW($B$2:$B$501)&lt;&gt;ROW(B618)),""&amp;$A$2:$A$501,"")),""))</f>
        <v/>
      </c>
      <c r="I618" s="29"/>
    </row>
    <row r="619" spans="1:9" x14ac:dyDescent="0.4">
      <c r="A619" s="29">
        <v>618</v>
      </c>
      <c r="B619" s="29"/>
      <c r="C619" s="29"/>
      <c r="D619" s="30"/>
      <c r="E619" s="29"/>
      <c r="F619" s="31"/>
      <c r="G619" s="29" t="str">
        <f>IF('단어 시험장'!E619="❌","❌","")</f>
        <v/>
      </c>
      <c r="H619" s="35" t="str" cm="1">
        <f t="array" ref="H619">IF(B619="","",IF(COUNTIF($B$2:$B$501,B619)&gt;1,"No."&amp;_xlfn.TEXTJOIN(", ",TRUE,IF(($B$2:$B$501=B619)*(ROW($B$2:$B$501)&lt;&gt;ROW(B619)),""&amp;$A$2:$A$501,"")),""))</f>
        <v/>
      </c>
      <c r="I619" s="29"/>
    </row>
    <row r="620" spans="1:9" x14ac:dyDescent="0.4">
      <c r="A620" s="29">
        <v>619</v>
      </c>
      <c r="B620" s="29"/>
      <c r="C620" s="29"/>
      <c r="D620" s="30"/>
      <c r="E620" s="29"/>
      <c r="F620" s="31"/>
      <c r="G620" s="29" t="str">
        <f>IF('단어 시험장'!E620="❌","❌","")</f>
        <v/>
      </c>
      <c r="H620" s="35" t="str" cm="1">
        <f t="array" ref="H620">IF(B620="","",IF(COUNTIF($B$2:$B$501,B620)&gt;1,"No."&amp;_xlfn.TEXTJOIN(", ",TRUE,IF(($B$2:$B$501=B620)*(ROW($B$2:$B$501)&lt;&gt;ROW(B620)),""&amp;$A$2:$A$501,"")),""))</f>
        <v/>
      </c>
      <c r="I620" s="29"/>
    </row>
    <row r="621" spans="1:9" x14ac:dyDescent="0.4">
      <c r="A621" s="29">
        <v>620</v>
      </c>
      <c r="B621" s="29"/>
      <c r="C621" s="29"/>
      <c r="D621" s="30"/>
      <c r="E621" s="29"/>
      <c r="F621" s="31"/>
      <c r="G621" s="29" t="str">
        <f>IF('단어 시험장'!E621="❌","❌","")</f>
        <v/>
      </c>
      <c r="H621" s="35" t="str" cm="1">
        <f t="array" ref="H621">IF(B621="","",IF(COUNTIF($B$2:$B$501,B621)&gt;1,"No."&amp;_xlfn.TEXTJOIN(", ",TRUE,IF(($B$2:$B$501=B621)*(ROW($B$2:$B$501)&lt;&gt;ROW(B621)),""&amp;$A$2:$A$501,"")),""))</f>
        <v/>
      </c>
      <c r="I621" s="29"/>
    </row>
    <row r="622" spans="1:9" x14ac:dyDescent="0.4">
      <c r="A622" s="29">
        <v>621</v>
      </c>
      <c r="B622" s="29"/>
      <c r="C622" s="29"/>
      <c r="D622" s="30"/>
      <c r="E622" s="29"/>
      <c r="F622" s="31"/>
      <c r="G622" s="29" t="str">
        <f>IF('단어 시험장'!E622="❌","❌","")</f>
        <v/>
      </c>
      <c r="H622" s="35" t="str" cm="1">
        <f t="array" ref="H622">IF(B622="","",IF(COUNTIF($B$2:$B$501,B622)&gt;1,"No."&amp;_xlfn.TEXTJOIN(", ",TRUE,IF(($B$2:$B$501=B622)*(ROW($B$2:$B$501)&lt;&gt;ROW(B622)),""&amp;$A$2:$A$501,"")),""))</f>
        <v/>
      </c>
      <c r="I622" s="29"/>
    </row>
    <row r="623" spans="1:9" x14ac:dyDescent="0.4">
      <c r="A623" s="29">
        <v>622</v>
      </c>
      <c r="B623" s="29"/>
      <c r="C623" s="29"/>
      <c r="D623" s="30"/>
      <c r="E623" s="29"/>
      <c r="F623" s="31"/>
      <c r="G623" s="29" t="str">
        <f>IF('단어 시험장'!E623="❌","❌","")</f>
        <v/>
      </c>
      <c r="H623" s="35" t="str" cm="1">
        <f t="array" ref="H623">IF(B623="","",IF(COUNTIF($B$2:$B$501,B623)&gt;1,"No."&amp;_xlfn.TEXTJOIN(", ",TRUE,IF(($B$2:$B$501=B623)*(ROW($B$2:$B$501)&lt;&gt;ROW(B623)),""&amp;$A$2:$A$501,"")),""))</f>
        <v/>
      </c>
      <c r="I623" s="29"/>
    </row>
    <row r="624" spans="1:9" x14ac:dyDescent="0.4">
      <c r="A624" s="29">
        <v>623</v>
      </c>
      <c r="B624" s="29"/>
      <c r="C624" s="29"/>
      <c r="D624" s="30"/>
      <c r="E624" s="29"/>
      <c r="F624" s="31"/>
      <c r="G624" s="29" t="str">
        <f>IF('단어 시험장'!E624="❌","❌","")</f>
        <v/>
      </c>
      <c r="H624" s="35" t="str" cm="1">
        <f t="array" ref="H624">IF(B624="","",IF(COUNTIF($B$2:$B$501,B624)&gt;1,"No."&amp;_xlfn.TEXTJOIN(", ",TRUE,IF(($B$2:$B$501=B624)*(ROW($B$2:$B$501)&lt;&gt;ROW(B624)),""&amp;$A$2:$A$501,"")),""))</f>
        <v/>
      </c>
      <c r="I624" s="29"/>
    </row>
    <row r="625" spans="1:9" x14ac:dyDescent="0.4">
      <c r="A625" s="29">
        <v>624</v>
      </c>
      <c r="B625" s="29"/>
      <c r="C625" s="29"/>
      <c r="D625" s="30"/>
      <c r="E625" s="29"/>
      <c r="F625" s="31"/>
      <c r="G625" s="29" t="str">
        <f>IF('단어 시험장'!E625="❌","❌","")</f>
        <v/>
      </c>
      <c r="H625" s="35" t="str" cm="1">
        <f t="array" ref="H625">IF(B625="","",IF(COUNTIF($B$2:$B$501,B625)&gt;1,"No."&amp;_xlfn.TEXTJOIN(", ",TRUE,IF(($B$2:$B$501=B625)*(ROW($B$2:$B$501)&lt;&gt;ROW(B625)),""&amp;$A$2:$A$501,"")),""))</f>
        <v/>
      </c>
      <c r="I625" s="29"/>
    </row>
    <row r="626" spans="1:9" x14ac:dyDescent="0.4">
      <c r="A626" s="29">
        <v>625</v>
      </c>
      <c r="B626" s="29"/>
      <c r="C626" s="29"/>
      <c r="D626" s="30"/>
      <c r="E626" s="29"/>
      <c r="F626" s="31"/>
      <c r="G626" s="29" t="str">
        <f>IF('단어 시험장'!E626="❌","❌","")</f>
        <v/>
      </c>
      <c r="H626" s="35" t="str" cm="1">
        <f t="array" ref="H626">IF(B626="","",IF(COUNTIF($B$2:$B$501,B626)&gt;1,"No."&amp;_xlfn.TEXTJOIN(", ",TRUE,IF(($B$2:$B$501=B626)*(ROW($B$2:$B$501)&lt;&gt;ROW(B626)),""&amp;$A$2:$A$501,"")),""))</f>
        <v/>
      </c>
      <c r="I626" s="29"/>
    </row>
    <row r="627" spans="1:9" x14ac:dyDescent="0.4">
      <c r="A627" s="29">
        <v>626</v>
      </c>
      <c r="B627" s="29"/>
      <c r="C627" s="29"/>
      <c r="D627" s="30"/>
      <c r="E627" s="29"/>
      <c r="F627" s="31"/>
      <c r="G627" s="29" t="str">
        <f>IF('단어 시험장'!E627="❌","❌","")</f>
        <v/>
      </c>
      <c r="H627" s="35" t="str" cm="1">
        <f t="array" ref="H627">IF(B627="","",IF(COUNTIF($B$2:$B$501,B627)&gt;1,"No."&amp;_xlfn.TEXTJOIN(", ",TRUE,IF(($B$2:$B$501=B627)*(ROW($B$2:$B$501)&lt;&gt;ROW(B627)),""&amp;$A$2:$A$501,"")),""))</f>
        <v/>
      </c>
      <c r="I627" s="29"/>
    </row>
    <row r="628" spans="1:9" x14ac:dyDescent="0.4">
      <c r="A628" s="29">
        <v>627</v>
      </c>
      <c r="B628" s="29"/>
      <c r="C628" s="29"/>
      <c r="D628" s="30"/>
      <c r="E628" s="29"/>
      <c r="F628" s="31"/>
      <c r="G628" s="29" t="str">
        <f>IF('단어 시험장'!E628="❌","❌","")</f>
        <v/>
      </c>
      <c r="H628" s="35" t="str" cm="1">
        <f t="array" ref="H628">IF(B628="","",IF(COUNTIF($B$2:$B$501,B628)&gt;1,"No."&amp;_xlfn.TEXTJOIN(", ",TRUE,IF(($B$2:$B$501=B628)*(ROW($B$2:$B$501)&lt;&gt;ROW(B628)),""&amp;$A$2:$A$501,"")),""))</f>
        <v/>
      </c>
      <c r="I628" s="29"/>
    </row>
    <row r="629" spans="1:9" x14ac:dyDescent="0.4">
      <c r="A629" s="29">
        <v>628</v>
      </c>
      <c r="B629" s="29"/>
      <c r="C629" s="29"/>
      <c r="D629" s="30"/>
      <c r="E629" s="29"/>
      <c r="F629" s="31"/>
      <c r="G629" s="29" t="str">
        <f>IF('단어 시험장'!E629="❌","❌","")</f>
        <v/>
      </c>
      <c r="H629" s="35" t="str" cm="1">
        <f t="array" ref="H629">IF(B629="","",IF(COUNTIF($B$2:$B$501,B629)&gt;1,"No."&amp;_xlfn.TEXTJOIN(", ",TRUE,IF(($B$2:$B$501=B629)*(ROW($B$2:$B$501)&lt;&gt;ROW(B629)),""&amp;$A$2:$A$501,"")),""))</f>
        <v/>
      </c>
      <c r="I629" s="29"/>
    </row>
    <row r="630" spans="1:9" x14ac:dyDescent="0.4">
      <c r="A630" s="29">
        <v>629</v>
      </c>
      <c r="B630" s="29"/>
      <c r="C630" s="29"/>
      <c r="D630" s="30"/>
      <c r="E630" s="29"/>
      <c r="F630" s="31"/>
      <c r="G630" s="29" t="str">
        <f>IF('단어 시험장'!E630="❌","❌","")</f>
        <v/>
      </c>
      <c r="H630" s="35" t="str" cm="1">
        <f t="array" ref="H630">IF(B630="","",IF(COUNTIF($B$2:$B$501,B630)&gt;1,"No."&amp;_xlfn.TEXTJOIN(", ",TRUE,IF(($B$2:$B$501=B630)*(ROW($B$2:$B$501)&lt;&gt;ROW(B630)),""&amp;$A$2:$A$501,"")),""))</f>
        <v/>
      </c>
      <c r="I630" s="29"/>
    </row>
    <row r="631" spans="1:9" x14ac:dyDescent="0.4">
      <c r="A631" s="29">
        <v>630</v>
      </c>
      <c r="B631" s="29"/>
      <c r="C631" s="29"/>
      <c r="D631" s="30"/>
      <c r="E631" s="29"/>
      <c r="F631" s="31"/>
      <c r="G631" s="29" t="str">
        <f>IF('단어 시험장'!E631="❌","❌","")</f>
        <v/>
      </c>
      <c r="H631" s="35" t="str" cm="1">
        <f t="array" ref="H631">IF(B631="","",IF(COUNTIF($B$2:$B$501,B631)&gt;1,"No."&amp;_xlfn.TEXTJOIN(", ",TRUE,IF(($B$2:$B$501=B631)*(ROW($B$2:$B$501)&lt;&gt;ROW(B631)),""&amp;$A$2:$A$501,"")),""))</f>
        <v/>
      </c>
      <c r="I631" s="29"/>
    </row>
    <row r="632" spans="1:9" x14ac:dyDescent="0.4">
      <c r="A632" s="29">
        <v>631</v>
      </c>
      <c r="B632" s="29"/>
      <c r="C632" s="29"/>
      <c r="D632" s="30"/>
      <c r="E632" s="29"/>
      <c r="F632" s="31"/>
      <c r="G632" s="29" t="str">
        <f>IF('단어 시험장'!E632="❌","❌","")</f>
        <v/>
      </c>
      <c r="H632" s="35" t="str" cm="1">
        <f t="array" ref="H632">IF(B632="","",IF(COUNTIF($B$2:$B$501,B632)&gt;1,"No."&amp;_xlfn.TEXTJOIN(", ",TRUE,IF(($B$2:$B$501=B632)*(ROW($B$2:$B$501)&lt;&gt;ROW(B632)),""&amp;$A$2:$A$501,"")),""))</f>
        <v/>
      </c>
      <c r="I632" s="29"/>
    </row>
    <row r="633" spans="1:9" x14ac:dyDescent="0.4">
      <c r="A633" s="29">
        <v>632</v>
      </c>
      <c r="B633" s="29"/>
      <c r="C633" s="29"/>
      <c r="D633" s="30"/>
      <c r="E633" s="29"/>
      <c r="F633" s="31"/>
      <c r="G633" s="29" t="str">
        <f>IF('단어 시험장'!E633="❌","❌","")</f>
        <v/>
      </c>
      <c r="H633" s="35" t="str" cm="1">
        <f t="array" ref="H633">IF(B633="","",IF(COUNTIF($B$2:$B$501,B633)&gt;1,"No."&amp;_xlfn.TEXTJOIN(", ",TRUE,IF(($B$2:$B$501=B633)*(ROW($B$2:$B$501)&lt;&gt;ROW(B633)),""&amp;$A$2:$A$501,"")),""))</f>
        <v/>
      </c>
      <c r="I633" s="29"/>
    </row>
    <row r="634" spans="1:9" x14ac:dyDescent="0.4">
      <c r="A634" s="29">
        <v>633</v>
      </c>
      <c r="B634" s="29"/>
      <c r="C634" s="29"/>
      <c r="D634" s="30"/>
      <c r="E634" s="29"/>
      <c r="F634" s="31"/>
      <c r="G634" s="29" t="str">
        <f>IF('단어 시험장'!E634="❌","❌","")</f>
        <v/>
      </c>
      <c r="H634" s="35" t="str" cm="1">
        <f t="array" ref="H634">IF(B634="","",IF(COUNTIF($B$2:$B$501,B634)&gt;1,"No."&amp;_xlfn.TEXTJOIN(", ",TRUE,IF(($B$2:$B$501=B634)*(ROW($B$2:$B$501)&lt;&gt;ROW(B634)),""&amp;$A$2:$A$501,"")),""))</f>
        <v/>
      </c>
      <c r="I634" s="29"/>
    </row>
    <row r="635" spans="1:9" x14ac:dyDescent="0.4">
      <c r="A635" s="29">
        <v>634</v>
      </c>
      <c r="B635" s="29"/>
      <c r="C635" s="29"/>
      <c r="D635" s="30"/>
      <c r="E635" s="29"/>
      <c r="F635" s="31"/>
      <c r="G635" s="29" t="str">
        <f>IF('단어 시험장'!E635="❌","❌","")</f>
        <v/>
      </c>
      <c r="H635" s="35" t="str" cm="1">
        <f t="array" ref="H635">IF(B635="","",IF(COUNTIF($B$2:$B$501,B635)&gt;1,"No."&amp;_xlfn.TEXTJOIN(", ",TRUE,IF(($B$2:$B$501=B635)*(ROW($B$2:$B$501)&lt;&gt;ROW(B635)),""&amp;$A$2:$A$501,"")),""))</f>
        <v/>
      </c>
      <c r="I635" s="29"/>
    </row>
    <row r="636" spans="1:9" x14ac:dyDescent="0.4">
      <c r="A636" s="29">
        <v>635</v>
      </c>
      <c r="B636" s="29"/>
      <c r="C636" s="29"/>
      <c r="D636" s="30"/>
      <c r="E636" s="29"/>
      <c r="F636" s="31"/>
      <c r="G636" s="29" t="str">
        <f>IF('단어 시험장'!E636="❌","❌","")</f>
        <v/>
      </c>
      <c r="H636" s="35" t="str" cm="1">
        <f t="array" ref="H636">IF(B636="","",IF(COUNTIF($B$2:$B$501,B636)&gt;1,"No."&amp;_xlfn.TEXTJOIN(", ",TRUE,IF(($B$2:$B$501=B636)*(ROW($B$2:$B$501)&lt;&gt;ROW(B636)),""&amp;$A$2:$A$501,"")),""))</f>
        <v/>
      </c>
      <c r="I636" s="29"/>
    </row>
    <row r="637" spans="1:9" x14ac:dyDescent="0.4">
      <c r="A637" s="29">
        <v>636</v>
      </c>
      <c r="B637" s="29"/>
      <c r="C637" s="29"/>
      <c r="D637" s="30"/>
      <c r="E637" s="29"/>
      <c r="F637" s="31"/>
      <c r="G637" s="29" t="str">
        <f>IF('단어 시험장'!E637="❌","❌","")</f>
        <v/>
      </c>
      <c r="H637" s="35" t="str" cm="1">
        <f t="array" ref="H637">IF(B637="","",IF(COUNTIF($B$2:$B$501,B637)&gt;1,"No."&amp;_xlfn.TEXTJOIN(", ",TRUE,IF(($B$2:$B$501=B637)*(ROW($B$2:$B$501)&lt;&gt;ROW(B637)),""&amp;$A$2:$A$501,"")),""))</f>
        <v/>
      </c>
      <c r="I637" s="29"/>
    </row>
    <row r="638" spans="1:9" x14ac:dyDescent="0.4">
      <c r="A638" s="29">
        <v>637</v>
      </c>
      <c r="B638" s="29"/>
      <c r="C638" s="29"/>
      <c r="D638" s="30"/>
      <c r="E638" s="29"/>
      <c r="F638" s="31"/>
      <c r="G638" s="29" t="str">
        <f>IF('단어 시험장'!E638="❌","❌","")</f>
        <v/>
      </c>
      <c r="H638" s="35" t="str" cm="1">
        <f t="array" ref="H638">IF(B638="","",IF(COUNTIF($B$2:$B$501,B638)&gt;1,"No."&amp;_xlfn.TEXTJOIN(", ",TRUE,IF(($B$2:$B$501=B638)*(ROW($B$2:$B$501)&lt;&gt;ROW(B638)),""&amp;$A$2:$A$501,"")),""))</f>
        <v/>
      </c>
      <c r="I638" s="29"/>
    </row>
    <row r="639" spans="1:9" x14ac:dyDescent="0.4">
      <c r="A639" s="29">
        <v>638</v>
      </c>
      <c r="B639" s="29"/>
      <c r="C639" s="29"/>
      <c r="D639" s="30"/>
      <c r="E639" s="29"/>
      <c r="F639" s="31"/>
      <c r="G639" s="29" t="str">
        <f>IF('단어 시험장'!E639="❌","❌","")</f>
        <v/>
      </c>
      <c r="H639" s="35" t="str" cm="1">
        <f t="array" ref="H639">IF(B639="","",IF(COUNTIF($B$2:$B$501,B639)&gt;1,"No."&amp;_xlfn.TEXTJOIN(", ",TRUE,IF(($B$2:$B$501=B639)*(ROW($B$2:$B$501)&lt;&gt;ROW(B639)),""&amp;$A$2:$A$501,"")),""))</f>
        <v/>
      </c>
      <c r="I639" s="29"/>
    </row>
    <row r="640" spans="1:9" x14ac:dyDescent="0.4">
      <c r="A640" s="29">
        <v>639</v>
      </c>
      <c r="B640" s="29"/>
      <c r="C640" s="29"/>
      <c r="D640" s="30"/>
      <c r="E640" s="29"/>
      <c r="F640" s="31"/>
      <c r="G640" s="29" t="str">
        <f>IF('단어 시험장'!E640="❌","❌","")</f>
        <v/>
      </c>
      <c r="H640" s="35" t="str" cm="1">
        <f t="array" ref="H640">IF(B640="","",IF(COUNTIF($B$2:$B$501,B640)&gt;1,"No."&amp;_xlfn.TEXTJOIN(", ",TRUE,IF(($B$2:$B$501=B640)*(ROW($B$2:$B$501)&lt;&gt;ROW(B640)),""&amp;$A$2:$A$501,"")),""))</f>
        <v/>
      </c>
      <c r="I640" s="29"/>
    </row>
    <row r="641" spans="1:9" x14ac:dyDescent="0.4">
      <c r="A641" s="29">
        <v>640</v>
      </c>
      <c r="B641" s="29"/>
      <c r="C641" s="29"/>
      <c r="D641" s="30"/>
      <c r="E641" s="29"/>
      <c r="F641" s="31"/>
      <c r="G641" s="29" t="str">
        <f>IF('단어 시험장'!E641="❌","❌","")</f>
        <v/>
      </c>
      <c r="H641" s="35" t="str" cm="1">
        <f t="array" ref="H641">IF(B641="","",IF(COUNTIF($B$2:$B$501,B641)&gt;1,"No."&amp;_xlfn.TEXTJOIN(", ",TRUE,IF(($B$2:$B$501=B641)*(ROW($B$2:$B$501)&lt;&gt;ROW(B641)),""&amp;$A$2:$A$501,"")),""))</f>
        <v/>
      </c>
      <c r="I641" s="29"/>
    </row>
    <row r="642" spans="1:9" x14ac:dyDescent="0.4">
      <c r="A642" s="29">
        <v>641</v>
      </c>
      <c r="B642" s="29"/>
      <c r="C642" s="29"/>
      <c r="D642" s="30"/>
      <c r="E642" s="29"/>
      <c r="F642" s="31"/>
      <c r="G642" s="29" t="str">
        <f>IF('단어 시험장'!E642="❌","❌","")</f>
        <v/>
      </c>
      <c r="H642" s="35" t="str" cm="1">
        <f t="array" ref="H642">IF(B642="","",IF(COUNTIF($B$2:$B$501,B642)&gt;1,"No."&amp;_xlfn.TEXTJOIN(", ",TRUE,IF(($B$2:$B$501=B642)*(ROW($B$2:$B$501)&lt;&gt;ROW(B642)),""&amp;$A$2:$A$501,"")),""))</f>
        <v/>
      </c>
      <c r="I642" s="29"/>
    </row>
    <row r="643" spans="1:9" x14ac:dyDescent="0.4">
      <c r="A643" s="29">
        <v>642</v>
      </c>
      <c r="B643" s="29"/>
      <c r="C643" s="29"/>
      <c r="D643" s="30"/>
      <c r="E643" s="29"/>
      <c r="F643" s="31"/>
      <c r="G643" s="29" t="str">
        <f>IF('단어 시험장'!E643="❌","❌","")</f>
        <v/>
      </c>
      <c r="H643" s="35" t="str" cm="1">
        <f t="array" ref="H643">IF(B643="","",IF(COUNTIF($B$2:$B$501,B643)&gt;1,"No."&amp;_xlfn.TEXTJOIN(", ",TRUE,IF(($B$2:$B$501=B643)*(ROW($B$2:$B$501)&lt;&gt;ROW(B643)),""&amp;$A$2:$A$501,"")),""))</f>
        <v/>
      </c>
      <c r="I643" s="29"/>
    </row>
    <row r="644" spans="1:9" x14ac:dyDescent="0.4">
      <c r="A644" s="29">
        <v>643</v>
      </c>
      <c r="B644" s="29"/>
      <c r="C644" s="29"/>
      <c r="D644" s="30"/>
      <c r="E644" s="29"/>
      <c r="F644" s="31"/>
      <c r="G644" s="29" t="str">
        <f>IF('단어 시험장'!E644="❌","❌","")</f>
        <v/>
      </c>
      <c r="H644" s="35" t="str" cm="1">
        <f t="array" ref="H644">IF(B644="","",IF(COUNTIF($B$2:$B$501,B644)&gt;1,"No."&amp;_xlfn.TEXTJOIN(", ",TRUE,IF(($B$2:$B$501=B644)*(ROW($B$2:$B$501)&lt;&gt;ROW(B644)),""&amp;$A$2:$A$501,"")),""))</f>
        <v/>
      </c>
      <c r="I644" s="29"/>
    </row>
    <row r="645" spans="1:9" x14ac:dyDescent="0.4">
      <c r="A645" s="29">
        <v>644</v>
      </c>
      <c r="B645" s="29"/>
      <c r="C645" s="29"/>
      <c r="D645" s="30"/>
      <c r="E645" s="29"/>
      <c r="F645" s="31"/>
      <c r="G645" s="29" t="str">
        <f>IF('단어 시험장'!E645="❌","❌","")</f>
        <v/>
      </c>
      <c r="H645" s="35" t="str" cm="1">
        <f t="array" ref="H645">IF(B645="","",IF(COUNTIF($B$2:$B$501,B645)&gt;1,"No."&amp;_xlfn.TEXTJOIN(", ",TRUE,IF(($B$2:$B$501=B645)*(ROW($B$2:$B$501)&lt;&gt;ROW(B645)),""&amp;$A$2:$A$501,"")),""))</f>
        <v/>
      </c>
      <c r="I645" s="29"/>
    </row>
    <row r="646" spans="1:9" x14ac:dyDescent="0.4">
      <c r="A646" s="29">
        <v>645</v>
      </c>
      <c r="B646" s="29"/>
      <c r="C646" s="29"/>
      <c r="D646" s="30"/>
      <c r="E646" s="29"/>
      <c r="F646" s="31"/>
      <c r="G646" s="29" t="str">
        <f>IF('단어 시험장'!E646="❌","❌","")</f>
        <v/>
      </c>
      <c r="H646" s="35" t="str" cm="1">
        <f t="array" ref="H646">IF(B646="","",IF(COUNTIF($B$2:$B$501,B646)&gt;1,"No."&amp;_xlfn.TEXTJOIN(", ",TRUE,IF(($B$2:$B$501=B646)*(ROW($B$2:$B$501)&lt;&gt;ROW(B646)),""&amp;$A$2:$A$501,"")),""))</f>
        <v/>
      </c>
      <c r="I646" s="29"/>
    </row>
    <row r="647" spans="1:9" x14ac:dyDescent="0.4">
      <c r="A647" s="29">
        <v>646</v>
      </c>
      <c r="B647" s="29"/>
      <c r="C647" s="29"/>
      <c r="D647" s="30"/>
      <c r="E647" s="29"/>
      <c r="F647" s="31"/>
      <c r="G647" s="29" t="str">
        <f>IF('단어 시험장'!E647="❌","❌","")</f>
        <v/>
      </c>
      <c r="H647" s="35" t="str" cm="1">
        <f t="array" ref="H647">IF(B647="","",IF(COUNTIF($B$2:$B$501,B647)&gt;1,"No."&amp;_xlfn.TEXTJOIN(", ",TRUE,IF(($B$2:$B$501=B647)*(ROW($B$2:$B$501)&lt;&gt;ROW(B647)),""&amp;$A$2:$A$501,"")),""))</f>
        <v/>
      </c>
      <c r="I647" s="29"/>
    </row>
    <row r="648" spans="1:9" x14ac:dyDescent="0.4">
      <c r="A648" s="29">
        <v>647</v>
      </c>
      <c r="B648" s="29"/>
      <c r="C648" s="29"/>
      <c r="D648" s="30"/>
      <c r="E648" s="29"/>
      <c r="F648" s="31"/>
      <c r="G648" s="29" t="str">
        <f>IF('단어 시험장'!E648="❌","❌","")</f>
        <v/>
      </c>
      <c r="H648" s="35" t="str" cm="1">
        <f t="array" ref="H648">IF(B648="","",IF(COUNTIF($B$2:$B$501,B648)&gt;1,"No."&amp;_xlfn.TEXTJOIN(", ",TRUE,IF(($B$2:$B$501=B648)*(ROW($B$2:$B$501)&lt;&gt;ROW(B648)),""&amp;$A$2:$A$501,"")),""))</f>
        <v/>
      </c>
      <c r="I648" s="29"/>
    </row>
    <row r="649" spans="1:9" x14ac:dyDescent="0.4">
      <c r="A649" s="29">
        <v>648</v>
      </c>
      <c r="B649" s="29"/>
      <c r="C649" s="29"/>
      <c r="D649" s="30"/>
      <c r="E649" s="29"/>
      <c r="F649" s="31"/>
      <c r="G649" s="29" t="str">
        <f>IF('단어 시험장'!E649="❌","❌","")</f>
        <v/>
      </c>
      <c r="H649" s="35" t="str" cm="1">
        <f t="array" ref="H649">IF(B649="","",IF(COUNTIF($B$2:$B$501,B649)&gt;1,"No."&amp;_xlfn.TEXTJOIN(", ",TRUE,IF(($B$2:$B$501=B649)*(ROW($B$2:$B$501)&lt;&gt;ROW(B649)),""&amp;$A$2:$A$501,"")),""))</f>
        <v/>
      </c>
      <c r="I649" s="29"/>
    </row>
    <row r="650" spans="1:9" x14ac:dyDescent="0.4">
      <c r="A650" s="29">
        <v>649</v>
      </c>
      <c r="B650" s="29"/>
      <c r="C650" s="29"/>
      <c r="D650" s="30"/>
      <c r="E650" s="29"/>
      <c r="F650" s="31"/>
      <c r="G650" s="29" t="str">
        <f>IF('단어 시험장'!E650="❌","❌","")</f>
        <v/>
      </c>
      <c r="H650" s="35" t="str" cm="1">
        <f t="array" ref="H650">IF(B650="","",IF(COUNTIF($B$2:$B$501,B650)&gt;1,"No."&amp;_xlfn.TEXTJOIN(", ",TRUE,IF(($B$2:$B$501=B650)*(ROW($B$2:$B$501)&lt;&gt;ROW(B650)),""&amp;$A$2:$A$501,"")),""))</f>
        <v/>
      </c>
      <c r="I650" s="29"/>
    </row>
    <row r="651" spans="1:9" x14ac:dyDescent="0.4">
      <c r="A651" s="29">
        <v>650</v>
      </c>
      <c r="B651" s="29"/>
      <c r="C651" s="29"/>
      <c r="D651" s="30"/>
      <c r="E651" s="29"/>
      <c r="F651" s="31"/>
      <c r="G651" s="29" t="str">
        <f>IF('단어 시험장'!E651="❌","❌","")</f>
        <v/>
      </c>
      <c r="H651" s="35" t="str" cm="1">
        <f t="array" ref="H651">IF(B651="","",IF(COUNTIF($B$2:$B$501,B651)&gt;1,"No."&amp;_xlfn.TEXTJOIN(", ",TRUE,IF(($B$2:$B$501=B651)*(ROW($B$2:$B$501)&lt;&gt;ROW(B651)),""&amp;$A$2:$A$501,"")),""))</f>
        <v/>
      </c>
      <c r="I651" s="29"/>
    </row>
    <row r="652" spans="1:9" x14ac:dyDescent="0.4">
      <c r="A652" s="29">
        <v>651</v>
      </c>
      <c r="B652" s="29"/>
      <c r="C652" s="29"/>
      <c r="D652" s="30"/>
      <c r="E652" s="29"/>
      <c r="F652" s="31"/>
      <c r="G652" s="29" t="str">
        <f>IF('단어 시험장'!E652="❌","❌","")</f>
        <v/>
      </c>
      <c r="H652" s="35" t="str" cm="1">
        <f t="array" ref="H652">IF(B652="","",IF(COUNTIF($B$2:$B$501,B652)&gt;1,"No."&amp;_xlfn.TEXTJOIN(", ",TRUE,IF(($B$2:$B$501=B652)*(ROW($B$2:$B$501)&lt;&gt;ROW(B652)),""&amp;$A$2:$A$501,"")),""))</f>
        <v/>
      </c>
      <c r="I652" s="29"/>
    </row>
    <row r="653" spans="1:9" x14ac:dyDescent="0.4">
      <c r="A653" s="29">
        <v>652</v>
      </c>
      <c r="B653" s="29"/>
      <c r="C653" s="29"/>
      <c r="D653" s="30"/>
      <c r="E653" s="29"/>
      <c r="F653" s="31"/>
      <c r="G653" s="29" t="str">
        <f>IF('단어 시험장'!E653="❌","❌","")</f>
        <v/>
      </c>
      <c r="H653" s="35" t="str" cm="1">
        <f t="array" ref="H653">IF(B653="","",IF(COUNTIF($B$2:$B$501,B653)&gt;1,"No."&amp;_xlfn.TEXTJOIN(", ",TRUE,IF(($B$2:$B$501=B653)*(ROW($B$2:$B$501)&lt;&gt;ROW(B653)),""&amp;$A$2:$A$501,"")),""))</f>
        <v/>
      </c>
      <c r="I653" s="29"/>
    </row>
    <row r="654" spans="1:9" x14ac:dyDescent="0.4">
      <c r="A654" s="29">
        <v>653</v>
      </c>
      <c r="B654" s="29"/>
      <c r="C654" s="29"/>
      <c r="D654" s="30"/>
      <c r="E654" s="29"/>
      <c r="F654" s="31"/>
      <c r="G654" s="29" t="str">
        <f>IF('단어 시험장'!E654="❌","❌","")</f>
        <v/>
      </c>
      <c r="H654" s="35" t="str" cm="1">
        <f t="array" ref="H654">IF(B654="","",IF(COUNTIF($B$2:$B$501,B654)&gt;1,"No."&amp;_xlfn.TEXTJOIN(", ",TRUE,IF(($B$2:$B$501=B654)*(ROW($B$2:$B$501)&lt;&gt;ROW(B654)),""&amp;$A$2:$A$501,"")),""))</f>
        <v/>
      </c>
      <c r="I654" s="29"/>
    </row>
    <row r="655" spans="1:9" x14ac:dyDescent="0.4">
      <c r="A655" s="29">
        <v>654</v>
      </c>
      <c r="B655" s="29"/>
      <c r="C655" s="29"/>
      <c r="D655" s="30"/>
      <c r="E655" s="29"/>
      <c r="F655" s="31"/>
      <c r="G655" s="29" t="str">
        <f>IF('단어 시험장'!E655="❌","❌","")</f>
        <v/>
      </c>
      <c r="H655" s="35" t="str" cm="1">
        <f t="array" ref="H655">IF(B655="","",IF(COUNTIF($B$2:$B$501,B655)&gt;1,"No."&amp;_xlfn.TEXTJOIN(", ",TRUE,IF(($B$2:$B$501=B655)*(ROW($B$2:$B$501)&lt;&gt;ROW(B655)),""&amp;$A$2:$A$501,"")),""))</f>
        <v/>
      </c>
      <c r="I655" s="29"/>
    </row>
    <row r="656" spans="1:9" x14ac:dyDescent="0.4">
      <c r="A656" s="29">
        <v>655</v>
      </c>
      <c r="B656" s="29"/>
      <c r="C656" s="29"/>
      <c r="D656" s="30"/>
      <c r="E656" s="29"/>
      <c r="F656" s="31"/>
      <c r="G656" s="29" t="str">
        <f>IF('단어 시험장'!E656="❌","❌","")</f>
        <v/>
      </c>
      <c r="H656" s="35" t="str" cm="1">
        <f t="array" ref="H656">IF(B656="","",IF(COUNTIF($B$2:$B$501,B656)&gt;1,"No."&amp;_xlfn.TEXTJOIN(", ",TRUE,IF(($B$2:$B$501=B656)*(ROW($B$2:$B$501)&lt;&gt;ROW(B656)),""&amp;$A$2:$A$501,"")),""))</f>
        <v/>
      </c>
      <c r="I656" s="29"/>
    </row>
    <row r="657" spans="1:9" x14ac:dyDescent="0.4">
      <c r="A657" s="29">
        <v>656</v>
      </c>
      <c r="B657" s="29"/>
      <c r="C657" s="29"/>
      <c r="D657" s="30"/>
      <c r="E657" s="29"/>
      <c r="F657" s="31"/>
      <c r="G657" s="29" t="str">
        <f>IF('단어 시험장'!E657="❌","❌","")</f>
        <v/>
      </c>
      <c r="H657" s="35" t="str" cm="1">
        <f t="array" ref="H657">IF(B657="","",IF(COUNTIF($B$2:$B$501,B657)&gt;1,"No."&amp;_xlfn.TEXTJOIN(", ",TRUE,IF(($B$2:$B$501=B657)*(ROW($B$2:$B$501)&lt;&gt;ROW(B657)),""&amp;$A$2:$A$501,"")),""))</f>
        <v/>
      </c>
      <c r="I657" s="29"/>
    </row>
    <row r="658" spans="1:9" x14ac:dyDescent="0.4">
      <c r="A658" s="29">
        <v>657</v>
      </c>
      <c r="B658" s="29"/>
      <c r="C658" s="29"/>
      <c r="D658" s="30"/>
      <c r="E658" s="29"/>
      <c r="F658" s="31"/>
      <c r="G658" s="29" t="str">
        <f>IF('단어 시험장'!E658="❌","❌","")</f>
        <v/>
      </c>
      <c r="H658" s="35" t="str" cm="1">
        <f t="array" ref="H658">IF(B658="","",IF(COUNTIF($B$2:$B$501,B658)&gt;1,"No."&amp;_xlfn.TEXTJOIN(", ",TRUE,IF(($B$2:$B$501=B658)*(ROW($B$2:$B$501)&lt;&gt;ROW(B658)),""&amp;$A$2:$A$501,"")),""))</f>
        <v/>
      </c>
      <c r="I658" s="29"/>
    </row>
    <row r="659" spans="1:9" x14ac:dyDescent="0.4">
      <c r="A659" s="29">
        <v>658</v>
      </c>
      <c r="B659" s="29"/>
      <c r="C659" s="29"/>
      <c r="D659" s="30"/>
      <c r="E659" s="29"/>
      <c r="F659" s="31"/>
      <c r="G659" s="29" t="str">
        <f>IF('단어 시험장'!E659="❌","❌","")</f>
        <v/>
      </c>
      <c r="H659" s="35" t="str" cm="1">
        <f t="array" ref="H659">IF(B659="","",IF(COUNTIF($B$2:$B$501,B659)&gt;1,"No."&amp;_xlfn.TEXTJOIN(", ",TRUE,IF(($B$2:$B$501=B659)*(ROW($B$2:$B$501)&lt;&gt;ROW(B659)),""&amp;$A$2:$A$501,"")),""))</f>
        <v/>
      </c>
      <c r="I659" s="29"/>
    </row>
    <row r="660" spans="1:9" x14ac:dyDescent="0.4">
      <c r="A660" s="29">
        <v>659</v>
      </c>
      <c r="B660" s="29"/>
      <c r="C660" s="29"/>
      <c r="D660" s="30"/>
      <c r="E660" s="29"/>
      <c r="F660" s="31"/>
      <c r="G660" s="29" t="str">
        <f>IF('단어 시험장'!E660="❌","❌","")</f>
        <v/>
      </c>
      <c r="H660" s="35" t="str" cm="1">
        <f t="array" ref="H660">IF(B660="","",IF(COUNTIF($B$2:$B$501,B660)&gt;1,"No."&amp;_xlfn.TEXTJOIN(", ",TRUE,IF(($B$2:$B$501=B660)*(ROW($B$2:$B$501)&lt;&gt;ROW(B660)),""&amp;$A$2:$A$501,"")),""))</f>
        <v/>
      </c>
      <c r="I660" s="29"/>
    </row>
    <row r="661" spans="1:9" x14ac:dyDescent="0.4">
      <c r="A661" s="29">
        <v>660</v>
      </c>
      <c r="B661" s="29"/>
      <c r="C661" s="29"/>
      <c r="D661" s="30"/>
      <c r="E661" s="29"/>
      <c r="F661" s="31"/>
      <c r="G661" s="29" t="str">
        <f>IF('단어 시험장'!E661="❌","❌","")</f>
        <v/>
      </c>
      <c r="H661" s="35" t="str" cm="1">
        <f t="array" ref="H661">IF(B661="","",IF(COUNTIF($B$2:$B$501,B661)&gt;1,"No."&amp;_xlfn.TEXTJOIN(", ",TRUE,IF(($B$2:$B$501=B661)*(ROW($B$2:$B$501)&lt;&gt;ROW(B661)),""&amp;$A$2:$A$501,"")),""))</f>
        <v/>
      </c>
      <c r="I661" s="29"/>
    </row>
    <row r="662" spans="1:9" x14ac:dyDescent="0.4">
      <c r="A662" s="29">
        <v>661</v>
      </c>
      <c r="B662" s="29"/>
      <c r="C662" s="29"/>
      <c r="D662" s="30"/>
      <c r="E662" s="29"/>
      <c r="F662" s="31"/>
      <c r="G662" s="29" t="str">
        <f>IF('단어 시험장'!E662="❌","❌","")</f>
        <v/>
      </c>
      <c r="H662" s="35" t="str" cm="1">
        <f t="array" ref="H662">IF(B662="","",IF(COUNTIF($B$2:$B$501,B662)&gt;1,"No."&amp;_xlfn.TEXTJOIN(", ",TRUE,IF(($B$2:$B$501=B662)*(ROW($B$2:$B$501)&lt;&gt;ROW(B662)),""&amp;$A$2:$A$501,"")),""))</f>
        <v/>
      </c>
      <c r="I662" s="29"/>
    </row>
    <row r="663" spans="1:9" x14ac:dyDescent="0.4">
      <c r="A663" s="29">
        <v>662</v>
      </c>
      <c r="B663" s="29"/>
      <c r="C663" s="29"/>
      <c r="D663" s="30"/>
      <c r="E663" s="29"/>
      <c r="F663" s="31"/>
      <c r="G663" s="29" t="str">
        <f>IF('단어 시험장'!E663="❌","❌","")</f>
        <v/>
      </c>
      <c r="H663" s="35" t="str" cm="1">
        <f t="array" ref="H663">IF(B663="","",IF(COUNTIF($B$2:$B$501,B663)&gt;1,"No."&amp;_xlfn.TEXTJOIN(", ",TRUE,IF(($B$2:$B$501=B663)*(ROW($B$2:$B$501)&lt;&gt;ROW(B663)),""&amp;$A$2:$A$501,"")),""))</f>
        <v/>
      </c>
      <c r="I663" s="29"/>
    </row>
    <row r="664" spans="1:9" x14ac:dyDescent="0.4">
      <c r="A664" s="29">
        <v>663</v>
      </c>
      <c r="B664" s="29"/>
      <c r="C664" s="29"/>
      <c r="D664" s="30"/>
      <c r="E664" s="29"/>
      <c r="F664" s="31"/>
      <c r="G664" s="29" t="str">
        <f>IF('단어 시험장'!E664="❌","❌","")</f>
        <v/>
      </c>
      <c r="H664" s="35" t="str" cm="1">
        <f t="array" ref="H664">IF(B664="","",IF(COUNTIF($B$2:$B$501,B664)&gt;1,"No."&amp;_xlfn.TEXTJOIN(", ",TRUE,IF(($B$2:$B$501=B664)*(ROW($B$2:$B$501)&lt;&gt;ROW(B664)),""&amp;$A$2:$A$501,"")),""))</f>
        <v/>
      </c>
      <c r="I664" s="29"/>
    </row>
    <row r="665" spans="1:9" x14ac:dyDescent="0.4">
      <c r="A665" s="29">
        <v>664</v>
      </c>
      <c r="B665" s="29"/>
      <c r="C665" s="29"/>
      <c r="D665" s="30"/>
      <c r="E665" s="29"/>
      <c r="F665" s="31"/>
      <c r="G665" s="29" t="str">
        <f>IF('단어 시험장'!E665="❌","❌","")</f>
        <v/>
      </c>
      <c r="H665" s="35" t="str" cm="1">
        <f t="array" ref="H665">IF(B665="","",IF(COUNTIF($B$2:$B$501,B665)&gt;1,"No."&amp;_xlfn.TEXTJOIN(", ",TRUE,IF(($B$2:$B$501=B665)*(ROW($B$2:$B$501)&lt;&gt;ROW(B665)),""&amp;$A$2:$A$501,"")),""))</f>
        <v/>
      </c>
      <c r="I665" s="29"/>
    </row>
    <row r="666" spans="1:9" x14ac:dyDescent="0.4">
      <c r="A666" s="29">
        <v>665</v>
      </c>
      <c r="B666" s="29"/>
      <c r="C666" s="29"/>
      <c r="D666" s="30"/>
      <c r="E666" s="29"/>
      <c r="F666" s="31"/>
      <c r="G666" s="29" t="str">
        <f>IF('단어 시험장'!E666="❌","❌","")</f>
        <v/>
      </c>
      <c r="H666" s="35" t="str" cm="1">
        <f t="array" ref="H666">IF(B666="","",IF(COUNTIF($B$2:$B$501,B666)&gt;1,"No."&amp;_xlfn.TEXTJOIN(", ",TRUE,IF(($B$2:$B$501=B666)*(ROW($B$2:$B$501)&lt;&gt;ROW(B666)),""&amp;$A$2:$A$501,"")),""))</f>
        <v/>
      </c>
      <c r="I666" s="29"/>
    </row>
    <row r="667" spans="1:9" x14ac:dyDescent="0.4">
      <c r="A667" s="29">
        <v>666</v>
      </c>
      <c r="B667" s="29"/>
      <c r="C667" s="29"/>
      <c r="D667" s="30"/>
      <c r="E667" s="29"/>
      <c r="F667" s="31"/>
      <c r="G667" s="29" t="str">
        <f>IF('단어 시험장'!E667="❌","❌","")</f>
        <v/>
      </c>
      <c r="H667" s="35" t="str" cm="1">
        <f t="array" ref="H667">IF(B667="","",IF(COUNTIF($B$2:$B$501,B667)&gt;1,"No."&amp;_xlfn.TEXTJOIN(", ",TRUE,IF(($B$2:$B$501=B667)*(ROW($B$2:$B$501)&lt;&gt;ROW(B667)),""&amp;$A$2:$A$501,"")),""))</f>
        <v/>
      </c>
      <c r="I667" s="29"/>
    </row>
    <row r="668" spans="1:9" x14ac:dyDescent="0.4">
      <c r="A668" s="29">
        <v>667</v>
      </c>
      <c r="B668" s="29"/>
      <c r="C668" s="29"/>
      <c r="D668" s="30"/>
      <c r="E668" s="29"/>
      <c r="F668" s="31"/>
      <c r="G668" s="29" t="str">
        <f>IF('단어 시험장'!E668="❌","❌","")</f>
        <v/>
      </c>
      <c r="H668" s="35" t="str" cm="1">
        <f t="array" ref="H668">IF(B668="","",IF(COUNTIF($B$2:$B$501,B668)&gt;1,"No."&amp;_xlfn.TEXTJOIN(", ",TRUE,IF(($B$2:$B$501=B668)*(ROW($B$2:$B$501)&lt;&gt;ROW(B668)),""&amp;$A$2:$A$501,"")),""))</f>
        <v/>
      </c>
      <c r="I668" s="29"/>
    </row>
    <row r="669" spans="1:9" x14ac:dyDescent="0.4">
      <c r="A669" s="29">
        <v>668</v>
      </c>
      <c r="B669" s="29"/>
      <c r="C669" s="29"/>
      <c r="D669" s="30"/>
      <c r="E669" s="29"/>
      <c r="F669" s="31"/>
      <c r="G669" s="29" t="str">
        <f>IF('단어 시험장'!E669="❌","❌","")</f>
        <v/>
      </c>
      <c r="H669" s="35" t="str" cm="1">
        <f t="array" ref="H669">IF(B669="","",IF(COUNTIF($B$2:$B$501,B669)&gt;1,"No."&amp;_xlfn.TEXTJOIN(", ",TRUE,IF(($B$2:$B$501=B669)*(ROW($B$2:$B$501)&lt;&gt;ROW(B669)),""&amp;$A$2:$A$501,"")),""))</f>
        <v/>
      </c>
      <c r="I669" s="29"/>
    </row>
    <row r="670" spans="1:9" x14ac:dyDescent="0.4">
      <c r="A670" s="29">
        <v>669</v>
      </c>
      <c r="B670" s="29"/>
      <c r="C670" s="29"/>
      <c r="D670" s="30"/>
      <c r="E670" s="29"/>
      <c r="F670" s="31"/>
      <c r="G670" s="29" t="str">
        <f>IF('단어 시험장'!E670="❌","❌","")</f>
        <v/>
      </c>
      <c r="H670" s="35" t="str" cm="1">
        <f t="array" ref="H670">IF(B670="","",IF(COUNTIF($B$2:$B$501,B670)&gt;1,"No."&amp;_xlfn.TEXTJOIN(", ",TRUE,IF(($B$2:$B$501=B670)*(ROW($B$2:$B$501)&lt;&gt;ROW(B670)),""&amp;$A$2:$A$501,"")),""))</f>
        <v/>
      </c>
      <c r="I670" s="29"/>
    </row>
    <row r="671" spans="1:9" x14ac:dyDescent="0.4">
      <c r="A671" s="29">
        <v>670</v>
      </c>
      <c r="B671" s="29"/>
      <c r="C671" s="29"/>
      <c r="D671" s="30"/>
      <c r="E671" s="29"/>
      <c r="F671" s="31"/>
      <c r="G671" s="29" t="str">
        <f>IF('단어 시험장'!E671="❌","❌","")</f>
        <v/>
      </c>
      <c r="H671" s="35" t="str" cm="1">
        <f t="array" ref="H671">IF(B671="","",IF(COUNTIF($B$2:$B$501,B671)&gt;1,"No."&amp;_xlfn.TEXTJOIN(", ",TRUE,IF(($B$2:$B$501=B671)*(ROW($B$2:$B$501)&lt;&gt;ROW(B671)),""&amp;$A$2:$A$501,"")),""))</f>
        <v/>
      </c>
      <c r="I671" s="29"/>
    </row>
    <row r="672" spans="1:9" x14ac:dyDescent="0.4">
      <c r="A672" s="29">
        <v>671</v>
      </c>
      <c r="B672" s="29"/>
      <c r="C672" s="29"/>
      <c r="D672" s="30"/>
      <c r="E672" s="29"/>
      <c r="F672" s="31"/>
      <c r="G672" s="29" t="str">
        <f>IF('단어 시험장'!E672="❌","❌","")</f>
        <v/>
      </c>
      <c r="H672" s="35" t="str" cm="1">
        <f t="array" ref="H672">IF(B672="","",IF(COUNTIF($B$2:$B$501,B672)&gt;1,"No."&amp;_xlfn.TEXTJOIN(", ",TRUE,IF(($B$2:$B$501=B672)*(ROW($B$2:$B$501)&lt;&gt;ROW(B672)),""&amp;$A$2:$A$501,"")),""))</f>
        <v/>
      </c>
      <c r="I672" s="29"/>
    </row>
    <row r="673" spans="1:9" x14ac:dyDescent="0.4">
      <c r="A673" s="29">
        <v>672</v>
      </c>
      <c r="B673" s="29"/>
      <c r="C673" s="29"/>
      <c r="D673" s="30"/>
      <c r="E673" s="29"/>
      <c r="F673" s="31"/>
      <c r="G673" s="29" t="str">
        <f>IF('단어 시험장'!E673="❌","❌","")</f>
        <v/>
      </c>
      <c r="H673" s="35" t="str" cm="1">
        <f t="array" ref="H673">IF(B673="","",IF(COUNTIF($B$2:$B$501,B673)&gt;1,"No."&amp;_xlfn.TEXTJOIN(", ",TRUE,IF(($B$2:$B$501=B673)*(ROW($B$2:$B$501)&lt;&gt;ROW(B673)),""&amp;$A$2:$A$501,"")),""))</f>
        <v/>
      </c>
      <c r="I673" s="29"/>
    </row>
    <row r="674" spans="1:9" x14ac:dyDescent="0.4">
      <c r="A674" s="29">
        <v>673</v>
      </c>
      <c r="B674" s="29"/>
      <c r="C674" s="29"/>
      <c r="D674" s="30"/>
      <c r="E674" s="29"/>
      <c r="F674" s="31"/>
      <c r="G674" s="29" t="str">
        <f>IF('단어 시험장'!E674="❌","❌","")</f>
        <v/>
      </c>
      <c r="H674" s="35" t="str" cm="1">
        <f t="array" ref="H674">IF(B674="","",IF(COUNTIF($B$2:$B$501,B674)&gt;1,"No."&amp;_xlfn.TEXTJOIN(", ",TRUE,IF(($B$2:$B$501=B674)*(ROW($B$2:$B$501)&lt;&gt;ROW(B674)),""&amp;$A$2:$A$501,"")),""))</f>
        <v/>
      </c>
      <c r="I674" s="29"/>
    </row>
    <row r="675" spans="1:9" x14ac:dyDescent="0.4">
      <c r="A675" s="29">
        <v>674</v>
      </c>
      <c r="B675" s="29"/>
      <c r="C675" s="29"/>
      <c r="D675" s="30"/>
      <c r="E675" s="29"/>
      <c r="F675" s="31"/>
      <c r="G675" s="29" t="str">
        <f>IF('단어 시험장'!E675="❌","❌","")</f>
        <v/>
      </c>
      <c r="H675" s="35" t="str" cm="1">
        <f t="array" ref="H675">IF(B675="","",IF(COUNTIF($B$2:$B$501,B675)&gt;1,"No."&amp;_xlfn.TEXTJOIN(", ",TRUE,IF(($B$2:$B$501=B675)*(ROW($B$2:$B$501)&lt;&gt;ROW(B675)),""&amp;$A$2:$A$501,"")),""))</f>
        <v/>
      </c>
      <c r="I675" s="29"/>
    </row>
    <row r="676" spans="1:9" x14ac:dyDescent="0.4">
      <c r="A676" s="29">
        <v>675</v>
      </c>
      <c r="B676" s="29"/>
      <c r="C676" s="29"/>
      <c r="D676" s="30"/>
      <c r="E676" s="29"/>
      <c r="F676" s="31"/>
      <c r="G676" s="29" t="str">
        <f>IF('단어 시험장'!E676="❌","❌","")</f>
        <v/>
      </c>
      <c r="H676" s="35" t="str" cm="1">
        <f t="array" ref="H676">IF(B676="","",IF(COUNTIF($B$2:$B$501,B676)&gt;1,"No."&amp;_xlfn.TEXTJOIN(", ",TRUE,IF(($B$2:$B$501=B676)*(ROW($B$2:$B$501)&lt;&gt;ROW(B676)),""&amp;$A$2:$A$501,"")),""))</f>
        <v/>
      </c>
      <c r="I676" s="29"/>
    </row>
    <row r="677" spans="1:9" x14ac:dyDescent="0.4">
      <c r="A677" s="29">
        <v>676</v>
      </c>
      <c r="B677" s="29"/>
      <c r="C677" s="29"/>
      <c r="D677" s="30"/>
      <c r="E677" s="29"/>
      <c r="F677" s="31"/>
      <c r="G677" s="29" t="str">
        <f>IF('단어 시험장'!E677="❌","❌","")</f>
        <v/>
      </c>
      <c r="H677" s="35" t="str" cm="1">
        <f t="array" ref="H677">IF(B677="","",IF(COUNTIF($B$2:$B$501,B677)&gt;1,"No."&amp;_xlfn.TEXTJOIN(", ",TRUE,IF(($B$2:$B$501=B677)*(ROW($B$2:$B$501)&lt;&gt;ROW(B677)),""&amp;$A$2:$A$501,"")),""))</f>
        <v/>
      </c>
      <c r="I677" s="29"/>
    </row>
    <row r="678" spans="1:9" x14ac:dyDescent="0.4">
      <c r="A678" s="29">
        <v>677</v>
      </c>
      <c r="B678" s="29"/>
      <c r="C678" s="29"/>
      <c r="D678" s="30"/>
      <c r="E678" s="29"/>
      <c r="F678" s="31"/>
      <c r="G678" s="29" t="str">
        <f>IF('단어 시험장'!E678="❌","❌","")</f>
        <v/>
      </c>
      <c r="H678" s="35" t="str" cm="1">
        <f t="array" ref="H678">IF(B678="","",IF(COUNTIF($B$2:$B$501,B678)&gt;1,"No."&amp;_xlfn.TEXTJOIN(", ",TRUE,IF(($B$2:$B$501=B678)*(ROW($B$2:$B$501)&lt;&gt;ROW(B678)),""&amp;$A$2:$A$501,"")),""))</f>
        <v/>
      </c>
      <c r="I678" s="29"/>
    </row>
    <row r="679" spans="1:9" x14ac:dyDescent="0.4">
      <c r="A679" s="29">
        <v>678</v>
      </c>
      <c r="B679" s="29"/>
      <c r="C679" s="29"/>
      <c r="D679" s="30"/>
      <c r="E679" s="29"/>
      <c r="F679" s="31"/>
      <c r="G679" s="29" t="str">
        <f>IF('단어 시험장'!E679="❌","❌","")</f>
        <v/>
      </c>
      <c r="H679" s="35" t="str" cm="1">
        <f t="array" ref="H679">IF(B679="","",IF(COUNTIF($B$2:$B$501,B679)&gt;1,"No."&amp;_xlfn.TEXTJOIN(", ",TRUE,IF(($B$2:$B$501=B679)*(ROW($B$2:$B$501)&lt;&gt;ROW(B679)),""&amp;$A$2:$A$501,"")),""))</f>
        <v/>
      </c>
      <c r="I679" s="29"/>
    </row>
    <row r="680" spans="1:9" x14ac:dyDescent="0.4">
      <c r="A680" s="29">
        <v>679</v>
      </c>
      <c r="B680" s="29"/>
      <c r="C680" s="29"/>
      <c r="D680" s="30"/>
      <c r="E680" s="29"/>
      <c r="F680" s="31"/>
      <c r="G680" s="29" t="str">
        <f>IF('단어 시험장'!E680="❌","❌","")</f>
        <v/>
      </c>
      <c r="H680" s="35" t="str" cm="1">
        <f t="array" ref="H680">IF(B680="","",IF(COUNTIF($B$2:$B$501,B680)&gt;1,"No."&amp;_xlfn.TEXTJOIN(", ",TRUE,IF(($B$2:$B$501=B680)*(ROW($B$2:$B$501)&lt;&gt;ROW(B680)),""&amp;$A$2:$A$501,"")),""))</f>
        <v/>
      </c>
      <c r="I680" s="29"/>
    </row>
    <row r="681" spans="1:9" x14ac:dyDescent="0.4">
      <c r="A681" s="29">
        <v>680</v>
      </c>
      <c r="B681" s="29"/>
      <c r="C681" s="29"/>
      <c r="D681" s="30"/>
      <c r="E681" s="29"/>
      <c r="F681" s="31"/>
      <c r="G681" s="29" t="str">
        <f>IF('단어 시험장'!E681="❌","❌","")</f>
        <v/>
      </c>
      <c r="H681" s="35" t="str" cm="1">
        <f t="array" ref="H681">IF(B681="","",IF(COUNTIF($B$2:$B$501,B681)&gt;1,"No."&amp;_xlfn.TEXTJOIN(", ",TRUE,IF(($B$2:$B$501=B681)*(ROW($B$2:$B$501)&lt;&gt;ROW(B681)),""&amp;$A$2:$A$501,"")),""))</f>
        <v/>
      </c>
      <c r="I681" s="29"/>
    </row>
    <row r="682" spans="1:9" x14ac:dyDescent="0.4">
      <c r="A682" s="29">
        <v>681</v>
      </c>
      <c r="B682" s="29"/>
      <c r="C682" s="29"/>
      <c r="D682" s="30"/>
      <c r="E682" s="29"/>
      <c r="F682" s="31"/>
      <c r="G682" s="29" t="str">
        <f>IF('단어 시험장'!E682="❌","❌","")</f>
        <v/>
      </c>
      <c r="H682" s="35" t="str" cm="1">
        <f t="array" ref="H682">IF(B682="","",IF(COUNTIF($B$2:$B$501,B682)&gt;1,"No."&amp;_xlfn.TEXTJOIN(", ",TRUE,IF(($B$2:$B$501=B682)*(ROW($B$2:$B$501)&lt;&gt;ROW(B682)),""&amp;$A$2:$A$501,"")),""))</f>
        <v/>
      </c>
      <c r="I682" s="29"/>
    </row>
    <row r="683" spans="1:9" x14ac:dyDescent="0.4">
      <c r="A683" s="29">
        <v>682</v>
      </c>
      <c r="B683" s="29"/>
      <c r="C683" s="29"/>
      <c r="D683" s="30"/>
      <c r="E683" s="29"/>
      <c r="F683" s="31"/>
      <c r="G683" s="29" t="str">
        <f>IF('단어 시험장'!E683="❌","❌","")</f>
        <v/>
      </c>
      <c r="H683" s="35" t="str" cm="1">
        <f t="array" ref="H683">IF(B683="","",IF(COUNTIF($B$2:$B$501,B683)&gt;1,"No."&amp;_xlfn.TEXTJOIN(", ",TRUE,IF(($B$2:$B$501=B683)*(ROW($B$2:$B$501)&lt;&gt;ROW(B683)),""&amp;$A$2:$A$501,"")),""))</f>
        <v/>
      </c>
      <c r="I683" s="29"/>
    </row>
    <row r="684" spans="1:9" x14ac:dyDescent="0.4">
      <c r="A684" s="29">
        <v>683</v>
      </c>
      <c r="B684" s="29"/>
      <c r="C684" s="29"/>
      <c r="D684" s="30"/>
      <c r="E684" s="29"/>
      <c r="F684" s="31"/>
      <c r="G684" s="29" t="str">
        <f>IF('단어 시험장'!E684="❌","❌","")</f>
        <v/>
      </c>
      <c r="H684" s="35" t="str" cm="1">
        <f t="array" ref="H684">IF(B684="","",IF(COUNTIF($B$2:$B$501,B684)&gt;1,"No."&amp;_xlfn.TEXTJOIN(", ",TRUE,IF(($B$2:$B$501=B684)*(ROW($B$2:$B$501)&lt;&gt;ROW(B684)),""&amp;$A$2:$A$501,"")),""))</f>
        <v/>
      </c>
      <c r="I684" s="29"/>
    </row>
    <row r="685" spans="1:9" x14ac:dyDescent="0.4">
      <c r="A685" s="29">
        <v>684</v>
      </c>
      <c r="B685" s="29"/>
      <c r="C685" s="29"/>
      <c r="D685" s="30"/>
      <c r="E685" s="29"/>
      <c r="F685" s="31"/>
      <c r="G685" s="29" t="str">
        <f>IF('단어 시험장'!E685="❌","❌","")</f>
        <v/>
      </c>
      <c r="H685" s="35" t="str" cm="1">
        <f t="array" ref="H685">IF(B685="","",IF(COUNTIF($B$2:$B$501,B685)&gt;1,"No."&amp;_xlfn.TEXTJOIN(", ",TRUE,IF(($B$2:$B$501=B685)*(ROW($B$2:$B$501)&lt;&gt;ROW(B685)),""&amp;$A$2:$A$501,"")),""))</f>
        <v/>
      </c>
      <c r="I685" s="29"/>
    </row>
    <row r="686" spans="1:9" x14ac:dyDescent="0.4">
      <c r="A686" s="29">
        <v>685</v>
      </c>
      <c r="B686" s="29"/>
      <c r="C686" s="29"/>
      <c r="D686" s="30"/>
      <c r="E686" s="29"/>
      <c r="F686" s="31"/>
      <c r="G686" s="29" t="str">
        <f>IF('단어 시험장'!E686="❌","❌","")</f>
        <v/>
      </c>
      <c r="H686" s="35" t="str" cm="1">
        <f t="array" ref="H686">IF(B686="","",IF(COUNTIF($B$2:$B$501,B686)&gt;1,"No."&amp;_xlfn.TEXTJOIN(", ",TRUE,IF(($B$2:$B$501=B686)*(ROW($B$2:$B$501)&lt;&gt;ROW(B686)),""&amp;$A$2:$A$501,"")),""))</f>
        <v/>
      </c>
      <c r="I686" s="29"/>
    </row>
    <row r="687" spans="1:9" x14ac:dyDescent="0.4">
      <c r="A687" s="29">
        <v>686</v>
      </c>
      <c r="B687" s="29"/>
      <c r="C687" s="29"/>
      <c r="D687" s="30"/>
      <c r="E687" s="29"/>
      <c r="F687" s="31"/>
      <c r="G687" s="29" t="str">
        <f>IF('단어 시험장'!E687="❌","❌","")</f>
        <v/>
      </c>
      <c r="H687" s="35" t="str" cm="1">
        <f t="array" ref="H687">IF(B687="","",IF(COUNTIF($B$2:$B$501,B687)&gt;1,"No."&amp;_xlfn.TEXTJOIN(", ",TRUE,IF(($B$2:$B$501=B687)*(ROW($B$2:$B$501)&lt;&gt;ROW(B687)),""&amp;$A$2:$A$501,"")),""))</f>
        <v/>
      </c>
      <c r="I687" s="29"/>
    </row>
    <row r="688" spans="1:9" x14ac:dyDescent="0.4">
      <c r="A688" s="29">
        <v>687</v>
      </c>
      <c r="B688" s="29"/>
      <c r="C688" s="29"/>
      <c r="D688" s="30"/>
      <c r="E688" s="29"/>
      <c r="F688" s="31"/>
      <c r="G688" s="29" t="str">
        <f>IF('단어 시험장'!E688="❌","❌","")</f>
        <v/>
      </c>
      <c r="H688" s="35" t="str" cm="1">
        <f t="array" ref="H688">IF(B688="","",IF(COUNTIF($B$2:$B$501,B688)&gt;1,"No."&amp;_xlfn.TEXTJOIN(", ",TRUE,IF(($B$2:$B$501=B688)*(ROW($B$2:$B$501)&lt;&gt;ROW(B688)),""&amp;$A$2:$A$501,"")),""))</f>
        <v/>
      </c>
      <c r="I688" s="29"/>
    </row>
    <row r="689" spans="1:9" x14ac:dyDescent="0.4">
      <c r="A689" s="29">
        <v>688</v>
      </c>
      <c r="B689" s="29"/>
      <c r="C689" s="29"/>
      <c r="D689" s="30"/>
      <c r="E689" s="29"/>
      <c r="F689" s="31"/>
      <c r="G689" s="29" t="str">
        <f>IF('단어 시험장'!E689="❌","❌","")</f>
        <v/>
      </c>
      <c r="H689" s="35" t="str" cm="1">
        <f t="array" ref="H689">IF(B689="","",IF(COUNTIF($B$2:$B$501,B689)&gt;1,"No."&amp;_xlfn.TEXTJOIN(", ",TRUE,IF(($B$2:$B$501=B689)*(ROW($B$2:$B$501)&lt;&gt;ROW(B689)),""&amp;$A$2:$A$501,"")),""))</f>
        <v/>
      </c>
      <c r="I689" s="29"/>
    </row>
    <row r="690" spans="1:9" x14ac:dyDescent="0.4">
      <c r="A690" s="29">
        <v>689</v>
      </c>
      <c r="B690" s="29"/>
      <c r="C690" s="29"/>
      <c r="D690" s="30"/>
      <c r="E690" s="29"/>
      <c r="F690" s="31"/>
      <c r="G690" s="29" t="str">
        <f>IF('단어 시험장'!E690="❌","❌","")</f>
        <v/>
      </c>
      <c r="H690" s="35" t="str" cm="1">
        <f t="array" ref="H690">IF(B690="","",IF(COUNTIF($B$2:$B$501,B690)&gt;1,"No."&amp;_xlfn.TEXTJOIN(", ",TRUE,IF(($B$2:$B$501=B690)*(ROW($B$2:$B$501)&lt;&gt;ROW(B690)),""&amp;$A$2:$A$501,"")),""))</f>
        <v/>
      </c>
      <c r="I690" s="29"/>
    </row>
    <row r="691" spans="1:9" x14ac:dyDescent="0.4">
      <c r="A691" s="29">
        <v>690</v>
      </c>
      <c r="B691" s="29"/>
      <c r="C691" s="29"/>
      <c r="D691" s="30"/>
      <c r="E691" s="29"/>
      <c r="F691" s="31"/>
      <c r="G691" s="29" t="str">
        <f>IF('단어 시험장'!E691="❌","❌","")</f>
        <v/>
      </c>
      <c r="H691" s="35" t="str" cm="1">
        <f t="array" ref="H691">IF(B691="","",IF(COUNTIF($B$2:$B$501,B691)&gt;1,"No."&amp;_xlfn.TEXTJOIN(", ",TRUE,IF(($B$2:$B$501=B691)*(ROW($B$2:$B$501)&lt;&gt;ROW(B691)),""&amp;$A$2:$A$501,"")),""))</f>
        <v/>
      </c>
      <c r="I691" s="29"/>
    </row>
    <row r="692" spans="1:9" x14ac:dyDescent="0.4">
      <c r="A692" s="29">
        <v>691</v>
      </c>
      <c r="B692" s="29"/>
      <c r="C692" s="29"/>
      <c r="D692" s="30"/>
      <c r="E692" s="29"/>
      <c r="F692" s="31"/>
      <c r="G692" s="29" t="str">
        <f>IF('단어 시험장'!E692="❌","❌","")</f>
        <v/>
      </c>
      <c r="H692" s="35" t="str" cm="1">
        <f t="array" ref="H692">IF(B692="","",IF(COUNTIF($B$2:$B$501,B692)&gt;1,"No."&amp;_xlfn.TEXTJOIN(", ",TRUE,IF(($B$2:$B$501=B692)*(ROW($B$2:$B$501)&lt;&gt;ROW(B692)),""&amp;$A$2:$A$501,"")),""))</f>
        <v/>
      </c>
      <c r="I692" s="29"/>
    </row>
    <row r="693" spans="1:9" x14ac:dyDescent="0.4">
      <c r="A693" s="29">
        <v>692</v>
      </c>
      <c r="B693" s="29"/>
      <c r="C693" s="29"/>
      <c r="D693" s="30"/>
      <c r="E693" s="29"/>
      <c r="F693" s="31"/>
      <c r="G693" s="29" t="str">
        <f>IF('단어 시험장'!E693="❌","❌","")</f>
        <v/>
      </c>
      <c r="H693" s="35" t="str" cm="1">
        <f t="array" ref="H693">IF(B693="","",IF(COUNTIF($B$2:$B$501,B693)&gt;1,"No."&amp;_xlfn.TEXTJOIN(", ",TRUE,IF(($B$2:$B$501=B693)*(ROW($B$2:$B$501)&lt;&gt;ROW(B693)),""&amp;$A$2:$A$501,"")),""))</f>
        <v/>
      </c>
      <c r="I693" s="29"/>
    </row>
    <row r="694" spans="1:9" x14ac:dyDescent="0.4">
      <c r="A694" s="29">
        <v>693</v>
      </c>
      <c r="B694" s="29"/>
      <c r="C694" s="29"/>
      <c r="D694" s="30"/>
      <c r="E694" s="29"/>
      <c r="F694" s="31"/>
      <c r="G694" s="29" t="str">
        <f>IF('단어 시험장'!E694="❌","❌","")</f>
        <v/>
      </c>
      <c r="H694" s="35" t="str" cm="1">
        <f t="array" ref="H694">IF(B694="","",IF(COUNTIF($B$2:$B$501,B694)&gt;1,"No."&amp;_xlfn.TEXTJOIN(", ",TRUE,IF(($B$2:$B$501=B694)*(ROW($B$2:$B$501)&lt;&gt;ROW(B694)),""&amp;$A$2:$A$501,"")),""))</f>
        <v/>
      </c>
      <c r="I694" s="29"/>
    </row>
    <row r="695" spans="1:9" x14ac:dyDescent="0.4">
      <c r="A695" s="29">
        <v>694</v>
      </c>
      <c r="B695" s="29"/>
      <c r="C695" s="29"/>
      <c r="D695" s="30"/>
      <c r="E695" s="29"/>
      <c r="F695" s="31"/>
      <c r="G695" s="29" t="str">
        <f>IF('단어 시험장'!E695="❌","❌","")</f>
        <v/>
      </c>
      <c r="H695" s="35" t="str" cm="1">
        <f t="array" ref="H695">IF(B695="","",IF(COUNTIF($B$2:$B$501,B695)&gt;1,"No."&amp;_xlfn.TEXTJOIN(", ",TRUE,IF(($B$2:$B$501=B695)*(ROW($B$2:$B$501)&lt;&gt;ROW(B695)),""&amp;$A$2:$A$501,"")),""))</f>
        <v/>
      </c>
      <c r="I695" s="29"/>
    </row>
    <row r="696" spans="1:9" x14ac:dyDescent="0.4">
      <c r="A696" s="29">
        <v>695</v>
      </c>
      <c r="B696" s="29"/>
      <c r="C696" s="29"/>
      <c r="D696" s="30"/>
      <c r="E696" s="29"/>
      <c r="F696" s="31"/>
      <c r="G696" s="29" t="str">
        <f>IF('단어 시험장'!E696="❌","❌","")</f>
        <v/>
      </c>
      <c r="H696" s="35" t="str" cm="1">
        <f t="array" ref="H696">IF(B696="","",IF(COUNTIF($B$2:$B$501,B696)&gt;1,"No."&amp;_xlfn.TEXTJOIN(", ",TRUE,IF(($B$2:$B$501=B696)*(ROW($B$2:$B$501)&lt;&gt;ROW(B696)),""&amp;$A$2:$A$501,"")),""))</f>
        <v/>
      </c>
      <c r="I696" s="29"/>
    </row>
    <row r="697" spans="1:9" x14ac:dyDescent="0.4">
      <c r="A697" s="29">
        <v>696</v>
      </c>
      <c r="B697" s="29"/>
      <c r="C697" s="29"/>
      <c r="D697" s="30"/>
      <c r="E697" s="29"/>
      <c r="F697" s="31"/>
      <c r="G697" s="29" t="str">
        <f>IF('단어 시험장'!E697="❌","❌","")</f>
        <v/>
      </c>
      <c r="H697" s="35" t="str" cm="1">
        <f t="array" ref="H697">IF(B697="","",IF(COUNTIF($B$2:$B$501,B697)&gt;1,"No."&amp;_xlfn.TEXTJOIN(", ",TRUE,IF(($B$2:$B$501=B697)*(ROW($B$2:$B$501)&lt;&gt;ROW(B697)),""&amp;$A$2:$A$501,"")),""))</f>
        <v/>
      </c>
      <c r="I697" s="29"/>
    </row>
    <row r="698" spans="1:9" x14ac:dyDescent="0.4">
      <c r="A698" s="29">
        <v>697</v>
      </c>
      <c r="B698" s="29"/>
      <c r="C698" s="29"/>
      <c r="D698" s="30"/>
      <c r="E698" s="29"/>
      <c r="F698" s="31"/>
      <c r="G698" s="29" t="str">
        <f>IF('단어 시험장'!E698="❌","❌","")</f>
        <v/>
      </c>
      <c r="H698" s="35" t="str" cm="1">
        <f t="array" ref="H698">IF(B698="","",IF(COUNTIF($B$2:$B$501,B698)&gt;1,"No."&amp;_xlfn.TEXTJOIN(", ",TRUE,IF(($B$2:$B$501=B698)*(ROW($B$2:$B$501)&lt;&gt;ROW(B698)),""&amp;$A$2:$A$501,"")),""))</f>
        <v/>
      </c>
      <c r="I698" s="29"/>
    </row>
    <row r="699" spans="1:9" x14ac:dyDescent="0.4">
      <c r="A699" s="29">
        <v>698</v>
      </c>
      <c r="B699" s="29"/>
      <c r="C699" s="29"/>
      <c r="D699" s="30"/>
      <c r="E699" s="29"/>
      <c r="F699" s="31"/>
      <c r="G699" s="29" t="str">
        <f>IF('단어 시험장'!E699="❌","❌","")</f>
        <v/>
      </c>
      <c r="H699" s="35" t="str" cm="1">
        <f t="array" ref="H699">IF(B699="","",IF(COUNTIF($B$2:$B$501,B699)&gt;1,"No."&amp;_xlfn.TEXTJOIN(", ",TRUE,IF(($B$2:$B$501=B699)*(ROW($B$2:$B$501)&lt;&gt;ROW(B699)),""&amp;$A$2:$A$501,"")),""))</f>
        <v/>
      </c>
      <c r="I699" s="29"/>
    </row>
    <row r="700" spans="1:9" x14ac:dyDescent="0.4">
      <c r="A700" s="29">
        <v>699</v>
      </c>
      <c r="B700" s="29"/>
      <c r="C700" s="29"/>
      <c r="D700" s="30"/>
      <c r="E700" s="29"/>
      <c r="F700" s="31"/>
      <c r="G700" s="29" t="str">
        <f>IF('단어 시험장'!E700="❌","❌","")</f>
        <v/>
      </c>
      <c r="H700" s="35" t="str" cm="1">
        <f t="array" ref="H700">IF(B700="","",IF(COUNTIF($B$2:$B$501,B700)&gt;1,"No."&amp;_xlfn.TEXTJOIN(", ",TRUE,IF(($B$2:$B$501=B700)*(ROW($B$2:$B$501)&lt;&gt;ROW(B700)),""&amp;$A$2:$A$501,"")),""))</f>
        <v/>
      </c>
      <c r="I700" s="29"/>
    </row>
    <row r="701" spans="1:9" x14ac:dyDescent="0.4">
      <c r="A701" s="29">
        <v>700</v>
      </c>
      <c r="B701" s="29"/>
      <c r="C701" s="29"/>
      <c r="D701" s="30"/>
      <c r="E701" s="29"/>
      <c r="F701" s="31"/>
      <c r="G701" s="29" t="str">
        <f>IF('단어 시험장'!E701="❌","❌","")</f>
        <v/>
      </c>
      <c r="H701" s="35" t="str" cm="1">
        <f t="array" ref="H701">IF(B701="","",IF(COUNTIF($B$2:$B$501,B701)&gt;1,"No."&amp;_xlfn.TEXTJOIN(", ",TRUE,IF(($B$2:$B$501=B701)*(ROW($B$2:$B$501)&lt;&gt;ROW(B701)),""&amp;$A$2:$A$501,"")),""))</f>
        <v/>
      </c>
      <c r="I701" s="29"/>
    </row>
    <row r="702" spans="1:9" x14ac:dyDescent="0.4">
      <c r="A702" s="29">
        <v>701</v>
      </c>
      <c r="B702" s="29"/>
      <c r="C702" s="29"/>
      <c r="D702" s="30"/>
      <c r="E702" s="29"/>
      <c r="F702" s="31"/>
      <c r="G702" s="29" t="str">
        <f>IF('단어 시험장'!E702="❌","❌","")</f>
        <v/>
      </c>
      <c r="H702" s="35" t="str" cm="1">
        <f t="array" ref="H702">IF(B702="","",IF(COUNTIF($B$2:$B$501,B702)&gt;1,"No."&amp;_xlfn.TEXTJOIN(", ",TRUE,IF(($B$2:$B$501=B702)*(ROW($B$2:$B$501)&lt;&gt;ROW(B702)),""&amp;$A$2:$A$501,"")),""))</f>
        <v/>
      </c>
      <c r="I702" s="29"/>
    </row>
    <row r="703" spans="1:9" x14ac:dyDescent="0.4">
      <c r="A703" s="29">
        <v>702</v>
      </c>
      <c r="B703" s="29"/>
      <c r="C703" s="29"/>
      <c r="D703" s="30"/>
      <c r="E703" s="29"/>
      <c r="F703" s="31"/>
      <c r="G703" s="29" t="str">
        <f>IF('단어 시험장'!E703="❌","❌","")</f>
        <v/>
      </c>
      <c r="H703" s="35" t="str" cm="1">
        <f t="array" ref="H703">IF(B703="","",IF(COUNTIF($B$2:$B$501,B703)&gt;1,"No."&amp;_xlfn.TEXTJOIN(", ",TRUE,IF(($B$2:$B$501=B703)*(ROW($B$2:$B$501)&lt;&gt;ROW(B703)),""&amp;$A$2:$A$501,"")),""))</f>
        <v/>
      </c>
      <c r="I703" s="29"/>
    </row>
    <row r="704" spans="1:9" x14ac:dyDescent="0.4">
      <c r="A704" s="29">
        <v>703</v>
      </c>
      <c r="B704" s="29"/>
      <c r="C704" s="29"/>
      <c r="D704" s="30"/>
      <c r="E704" s="29"/>
      <c r="F704" s="31"/>
      <c r="G704" s="29" t="str">
        <f>IF('단어 시험장'!E704="❌","❌","")</f>
        <v/>
      </c>
      <c r="H704" s="35" t="str" cm="1">
        <f t="array" ref="H704">IF(B704="","",IF(COUNTIF($B$2:$B$501,B704)&gt;1,"No."&amp;_xlfn.TEXTJOIN(", ",TRUE,IF(($B$2:$B$501=B704)*(ROW($B$2:$B$501)&lt;&gt;ROW(B704)),""&amp;$A$2:$A$501,"")),""))</f>
        <v/>
      </c>
      <c r="I704" s="29"/>
    </row>
    <row r="705" spans="1:9" x14ac:dyDescent="0.4">
      <c r="A705" s="29">
        <v>704</v>
      </c>
      <c r="B705" s="29"/>
      <c r="C705" s="29"/>
      <c r="D705" s="30"/>
      <c r="E705" s="29"/>
      <c r="F705" s="31"/>
      <c r="G705" s="29" t="str">
        <f>IF('단어 시험장'!E705="❌","❌","")</f>
        <v/>
      </c>
      <c r="H705" s="35" t="str" cm="1">
        <f t="array" ref="H705">IF(B705="","",IF(COUNTIF($B$2:$B$501,B705)&gt;1,"No."&amp;_xlfn.TEXTJOIN(", ",TRUE,IF(($B$2:$B$501=B705)*(ROW($B$2:$B$501)&lt;&gt;ROW(B705)),""&amp;$A$2:$A$501,"")),""))</f>
        <v/>
      </c>
      <c r="I705" s="29"/>
    </row>
    <row r="706" spans="1:9" x14ac:dyDescent="0.4">
      <c r="A706" s="29">
        <v>705</v>
      </c>
      <c r="B706" s="29"/>
      <c r="C706" s="29"/>
      <c r="D706" s="30"/>
      <c r="E706" s="29"/>
      <c r="F706" s="31"/>
      <c r="G706" s="29" t="str">
        <f>IF('단어 시험장'!E706="❌","❌","")</f>
        <v/>
      </c>
      <c r="H706" s="35" t="str" cm="1">
        <f t="array" ref="H706">IF(B706="","",IF(COUNTIF($B$2:$B$501,B706)&gt;1,"No."&amp;_xlfn.TEXTJOIN(", ",TRUE,IF(($B$2:$B$501=B706)*(ROW($B$2:$B$501)&lt;&gt;ROW(B706)),""&amp;$A$2:$A$501,"")),""))</f>
        <v/>
      </c>
      <c r="I706" s="29"/>
    </row>
    <row r="707" spans="1:9" x14ac:dyDescent="0.4">
      <c r="A707" s="29">
        <v>706</v>
      </c>
      <c r="B707" s="29"/>
      <c r="C707" s="29"/>
      <c r="D707" s="30"/>
      <c r="E707" s="29"/>
      <c r="F707" s="31"/>
      <c r="G707" s="29" t="str">
        <f>IF('단어 시험장'!E707="❌","❌","")</f>
        <v/>
      </c>
      <c r="H707" s="35" t="str" cm="1">
        <f t="array" ref="H707">IF(B707="","",IF(COUNTIF($B$2:$B$501,B707)&gt;1,"No."&amp;_xlfn.TEXTJOIN(", ",TRUE,IF(($B$2:$B$501=B707)*(ROW($B$2:$B$501)&lt;&gt;ROW(B707)),""&amp;$A$2:$A$501,"")),""))</f>
        <v/>
      </c>
      <c r="I707" s="29"/>
    </row>
    <row r="708" spans="1:9" x14ac:dyDescent="0.4">
      <c r="A708" s="29">
        <v>707</v>
      </c>
      <c r="B708" s="29"/>
      <c r="C708" s="29"/>
      <c r="D708" s="30"/>
      <c r="E708" s="29"/>
      <c r="F708" s="31"/>
      <c r="G708" s="29" t="str">
        <f>IF('단어 시험장'!E708="❌","❌","")</f>
        <v/>
      </c>
      <c r="H708" s="35" t="str" cm="1">
        <f t="array" ref="H708">IF(B708="","",IF(COUNTIF($B$2:$B$501,B708)&gt;1,"No."&amp;_xlfn.TEXTJOIN(", ",TRUE,IF(($B$2:$B$501=B708)*(ROW($B$2:$B$501)&lt;&gt;ROW(B708)),""&amp;$A$2:$A$501,"")),""))</f>
        <v/>
      </c>
      <c r="I708" s="29"/>
    </row>
    <row r="709" spans="1:9" x14ac:dyDescent="0.4">
      <c r="A709" s="29">
        <v>708</v>
      </c>
      <c r="B709" s="29"/>
      <c r="C709" s="29"/>
      <c r="D709" s="30"/>
      <c r="E709" s="29"/>
      <c r="F709" s="31"/>
      <c r="G709" s="29" t="str">
        <f>IF('단어 시험장'!E709="❌","❌","")</f>
        <v/>
      </c>
      <c r="H709" s="35" t="str" cm="1">
        <f t="array" ref="H709">IF(B709="","",IF(COUNTIF($B$2:$B$501,B709)&gt;1,"No."&amp;_xlfn.TEXTJOIN(", ",TRUE,IF(($B$2:$B$501=B709)*(ROW($B$2:$B$501)&lt;&gt;ROW(B709)),""&amp;$A$2:$A$501,"")),""))</f>
        <v/>
      </c>
      <c r="I709" s="29"/>
    </row>
    <row r="710" spans="1:9" x14ac:dyDescent="0.4">
      <c r="A710" s="29">
        <v>709</v>
      </c>
      <c r="B710" s="29"/>
      <c r="C710" s="29"/>
      <c r="D710" s="30"/>
      <c r="E710" s="29"/>
      <c r="F710" s="31"/>
      <c r="G710" s="29" t="str">
        <f>IF('단어 시험장'!E710="❌","❌","")</f>
        <v/>
      </c>
      <c r="H710" s="35" t="str" cm="1">
        <f t="array" ref="H710">IF(B710="","",IF(COUNTIF($B$2:$B$501,B710)&gt;1,"No."&amp;_xlfn.TEXTJOIN(", ",TRUE,IF(($B$2:$B$501=B710)*(ROW($B$2:$B$501)&lt;&gt;ROW(B710)),""&amp;$A$2:$A$501,"")),""))</f>
        <v/>
      </c>
      <c r="I710" s="29"/>
    </row>
    <row r="711" spans="1:9" x14ac:dyDescent="0.4">
      <c r="A711" s="29">
        <v>710</v>
      </c>
      <c r="B711" s="29"/>
      <c r="C711" s="29"/>
      <c r="D711" s="30"/>
      <c r="E711" s="29"/>
      <c r="F711" s="31"/>
      <c r="G711" s="29" t="str">
        <f>IF('단어 시험장'!E711="❌","❌","")</f>
        <v/>
      </c>
      <c r="H711" s="35" t="str" cm="1">
        <f t="array" ref="H711">IF(B711="","",IF(COUNTIF($B$2:$B$501,B711)&gt;1,"No."&amp;_xlfn.TEXTJOIN(", ",TRUE,IF(($B$2:$B$501=B711)*(ROW($B$2:$B$501)&lt;&gt;ROW(B711)),""&amp;$A$2:$A$501,"")),""))</f>
        <v/>
      </c>
      <c r="I711" s="29"/>
    </row>
    <row r="712" spans="1:9" x14ac:dyDescent="0.4">
      <c r="A712" s="29">
        <v>711</v>
      </c>
      <c r="B712" s="29"/>
      <c r="C712" s="29"/>
      <c r="D712" s="30"/>
      <c r="E712" s="29"/>
      <c r="F712" s="31"/>
      <c r="G712" s="29" t="str">
        <f>IF('단어 시험장'!E712="❌","❌","")</f>
        <v/>
      </c>
      <c r="H712" s="35" t="str" cm="1">
        <f t="array" ref="H712">IF(B712="","",IF(COUNTIF($B$2:$B$501,B712)&gt;1,"No."&amp;_xlfn.TEXTJOIN(", ",TRUE,IF(($B$2:$B$501=B712)*(ROW($B$2:$B$501)&lt;&gt;ROW(B712)),""&amp;$A$2:$A$501,"")),""))</f>
        <v/>
      </c>
      <c r="I712" s="29"/>
    </row>
    <row r="713" spans="1:9" x14ac:dyDescent="0.4">
      <c r="A713" s="29">
        <v>712</v>
      </c>
      <c r="B713" s="29"/>
      <c r="C713" s="29"/>
      <c r="D713" s="30"/>
      <c r="E713" s="29"/>
      <c r="F713" s="31"/>
      <c r="G713" s="29" t="str">
        <f>IF('단어 시험장'!E713="❌","❌","")</f>
        <v/>
      </c>
      <c r="H713" s="35" t="str" cm="1">
        <f t="array" ref="H713">IF(B713="","",IF(COUNTIF($B$2:$B$501,B713)&gt;1,"No."&amp;_xlfn.TEXTJOIN(", ",TRUE,IF(($B$2:$B$501=B713)*(ROW($B$2:$B$501)&lt;&gt;ROW(B713)),""&amp;$A$2:$A$501,"")),""))</f>
        <v/>
      </c>
      <c r="I713" s="29"/>
    </row>
    <row r="714" spans="1:9" x14ac:dyDescent="0.4">
      <c r="A714" s="29">
        <v>713</v>
      </c>
      <c r="B714" s="29"/>
      <c r="C714" s="29"/>
      <c r="D714" s="30"/>
      <c r="E714" s="29"/>
      <c r="F714" s="31"/>
      <c r="G714" s="29" t="str">
        <f>IF('단어 시험장'!E714="❌","❌","")</f>
        <v/>
      </c>
      <c r="H714" s="35" t="str" cm="1">
        <f t="array" ref="H714">IF(B714="","",IF(COUNTIF($B$2:$B$501,B714)&gt;1,"No."&amp;_xlfn.TEXTJOIN(", ",TRUE,IF(($B$2:$B$501=B714)*(ROW($B$2:$B$501)&lt;&gt;ROW(B714)),""&amp;$A$2:$A$501,"")),""))</f>
        <v/>
      </c>
      <c r="I714" s="29"/>
    </row>
    <row r="715" spans="1:9" x14ac:dyDescent="0.4">
      <c r="A715" s="29">
        <v>714</v>
      </c>
      <c r="B715" s="29"/>
      <c r="C715" s="29"/>
      <c r="D715" s="30"/>
      <c r="E715" s="29"/>
      <c r="F715" s="31"/>
      <c r="G715" s="29" t="str">
        <f>IF('단어 시험장'!E715="❌","❌","")</f>
        <v/>
      </c>
      <c r="H715" s="35" t="str" cm="1">
        <f t="array" ref="H715">IF(B715="","",IF(COUNTIF($B$2:$B$501,B715)&gt;1,"No."&amp;_xlfn.TEXTJOIN(", ",TRUE,IF(($B$2:$B$501=B715)*(ROW($B$2:$B$501)&lt;&gt;ROW(B715)),""&amp;$A$2:$A$501,"")),""))</f>
        <v/>
      </c>
      <c r="I715" s="29"/>
    </row>
    <row r="716" spans="1:9" x14ac:dyDescent="0.4">
      <c r="A716" s="29">
        <v>715</v>
      </c>
      <c r="B716" s="29"/>
      <c r="C716" s="29"/>
      <c r="D716" s="30"/>
      <c r="E716" s="29"/>
      <c r="F716" s="31"/>
      <c r="G716" s="29" t="str">
        <f>IF('단어 시험장'!E716="❌","❌","")</f>
        <v/>
      </c>
      <c r="H716" s="35" t="str" cm="1">
        <f t="array" ref="H716">IF(B716="","",IF(COUNTIF($B$2:$B$501,B716)&gt;1,"No."&amp;_xlfn.TEXTJOIN(", ",TRUE,IF(($B$2:$B$501=B716)*(ROW($B$2:$B$501)&lt;&gt;ROW(B716)),""&amp;$A$2:$A$501,"")),""))</f>
        <v/>
      </c>
      <c r="I716" s="29"/>
    </row>
    <row r="717" spans="1:9" x14ac:dyDescent="0.4">
      <c r="A717" s="29">
        <v>716</v>
      </c>
      <c r="B717" s="29"/>
      <c r="C717" s="29"/>
      <c r="D717" s="30"/>
      <c r="E717" s="29"/>
      <c r="F717" s="31"/>
      <c r="G717" s="29" t="str">
        <f>IF('단어 시험장'!E717="❌","❌","")</f>
        <v/>
      </c>
      <c r="H717" s="35" t="str" cm="1">
        <f t="array" ref="H717">IF(B717="","",IF(COUNTIF($B$2:$B$501,B717)&gt;1,"No."&amp;_xlfn.TEXTJOIN(", ",TRUE,IF(($B$2:$B$501=B717)*(ROW($B$2:$B$501)&lt;&gt;ROW(B717)),""&amp;$A$2:$A$501,"")),""))</f>
        <v/>
      </c>
      <c r="I717" s="29"/>
    </row>
    <row r="718" spans="1:9" x14ac:dyDescent="0.4">
      <c r="A718" s="29">
        <v>717</v>
      </c>
      <c r="B718" s="29"/>
      <c r="C718" s="29"/>
      <c r="D718" s="30"/>
      <c r="E718" s="29"/>
      <c r="F718" s="31"/>
      <c r="G718" s="29" t="str">
        <f>IF('단어 시험장'!E718="❌","❌","")</f>
        <v/>
      </c>
      <c r="H718" s="35" t="str" cm="1">
        <f t="array" ref="H718">IF(B718="","",IF(COUNTIF($B$2:$B$501,B718)&gt;1,"No."&amp;_xlfn.TEXTJOIN(", ",TRUE,IF(($B$2:$B$501=B718)*(ROW($B$2:$B$501)&lt;&gt;ROW(B718)),""&amp;$A$2:$A$501,"")),""))</f>
        <v/>
      </c>
      <c r="I718" s="29"/>
    </row>
    <row r="719" spans="1:9" x14ac:dyDescent="0.4">
      <c r="A719" s="29">
        <v>718</v>
      </c>
      <c r="B719" s="29"/>
      <c r="C719" s="29"/>
      <c r="D719" s="30"/>
      <c r="E719" s="29"/>
      <c r="F719" s="31"/>
      <c r="G719" s="29" t="str">
        <f>IF('단어 시험장'!E719="❌","❌","")</f>
        <v/>
      </c>
      <c r="H719" s="35" t="str" cm="1">
        <f t="array" ref="H719">IF(B719="","",IF(COUNTIF($B$2:$B$501,B719)&gt;1,"No."&amp;_xlfn.TEXTJOIN(", ",TRUE,IF(($B$2:$B$501=B719)*(ROW($B$2:$B$501)&lt;&gt;ROW(B719)),""&amp;$A$2:$A$501,"")),""))</f>
        <v/>
      </c>
      <c r="I719" s="29"/>
    </row>
    <row r="720" spans="1:9" x14ac:dyDescent="0.4">
      <c r="A720" s="29">
        <v>719</v>
      </c>
      <c r="B720" s="29"/>
      <c r="C720" s="29"/>
      <c r="D720" s="30"/>
      <c r="E720" s="29"/>
      <c r="F720" s="31"/>
      <c r="G720" s="29" t="str">
        <f>IF('단어 시험장'!E720="❌","❌","")</f>
        <v/>
      </c>
      <c r="H720" s="35" t="str" cm="1">
        <f t="array" ref="H720">IF(B720="","",IF(COUNTIF($B$2:$B$501,B720)&gt;1,"No."&amp;_xlfn.TEXTJOIN(", ",TRUE,IF(($B$2:$B$501=B720)*(ROW($B$2:$B$501)&lt;&gt;ROW(B720)),""&amp;$A$2:$A$501,"")),""))</f>
        <v/>
      </c>
      <c r="I720" s="29"/>
    </row>
    <row r="721" spans="1:9" x14ac:dyDescent="0.4">
      <c r="A721" s="29">
        <v>720</v>
      </c>
      <c r="B721" s="29"/>
      <c r="C721" s="29"/>
      <c r="D721" s="30"/>
      <c r="E721" s="29"/>
      <c r="F721" s="31"/>
      <c r="G721" s="29" t="str">
        <f>IF('단어 시험장'!E721="❌","❌","")</f>
        <v/>
      </c>
      <c r="H721" s="35" t="str" cm="1">
        <f t="array" ref="H721">IF(B721="","",IF(COUNTIF($B$2:$B$501,B721)&gt;1,"No."&amp;_xlfn.TEXTJOIN(", ",TRUE,IF(($B$2:$B$501=B721)*(ROW($B$2:$B$501)&lt;&gt;ROW(B721)),""&amp;$A$2:$A$501,"")),""))</f>
        <v/>
      </c>
      <c r="I721" s="29"/>
    </row>
    <row r="722" spans="1:9" x14ac:dyDescent="0.4">
      <c r="A722" s="29">
        <v>721</v>
      </c>
      <c r="B722" s="29"/>
      <c r="C722" s="29"/>
      <c r="D722" s="30"/>
      <c r="E722" s="29"/>
      <c r="F722" s="31"/>
      <c r="G722" s="29" t="str">
        <f>IF('단어 시험장'!E722="❌","❌","")</f>
        <v/>
      </c>
      <c r="H722" s="35" t="str" cm="1">
        <f t="array" ref="H722">IF(B722="","",IF(COUNTIF($B$2:$B$501,B722)&gt;1,"No."&amp;_xlfn.TEXTJOIN(", ",TRUE,IF(($B$2:$B$501=B722)*(ROW($B$2:$B$501)&lt;&gt;ROW(B722)),""&amp;$A$2:$A$501,"")),""))</f>
        <v/>
      </c>
      <c r="I722" s="29"/>
    </row>
    <row r="723" spans="1:9" x14ac:dyDescent="0.4">
      <c r="A723" s="29">
        <v>722</v>
      </c>
      <c r="B723" s="29"/>
      <c r="C723" s="29"/>
      <c r="D723" s="30"/>
      <c r="E723" s="29"/>
      <c r="F723" s="31"/>
      <c r="G723" s="29" t="str">
        <f>IF('단어 시험장'!E723="❌","❌","")</f>
        <v/>
      </c>
      <c r="H723" s="35" t="str" cm="1">
        <f t="array" ref="H723">IF(B723="","",IF(COUNTIF($B$2:$B$501,B723)&gt;1,"No."&amp;_xlfn.TEXTJOIN(", ",TRUE,IF(($B$2:$B$501=B723)*(ROW($B$2:$B$501)&lt;&gt;ROW(B723)),""&amp;$A$2:$A$501,"")),""))</f>
        <v/>
      </c>
      <c r="I723" s="29"/>
    </row>
    <row r="724" spans="1:9" x14ac:dyDescent="0.4">
      <c r="A724" s="29">
        <v>723</v>
      </c>
      <c r="B724" s="29"/>
      <c r="C724" s="29"/>
      <c r="D724" s="30"/>
      <c r="E724" s="29"/>
      <c r="F724" s="31"/>
      <c r="G724" s="29" t="str">
        <f>IF('단어 시험장'!E724="❌","❌","")</f>
        <v/>
      </c>
      <c r="H724" s="35" t="str" cm="1">
        <f t="array" ref="H724">IF(B724="","",IF(COUNTIF($B$2:$B$501,B724)&gt;1,"No."&amp;_xlfn.TEXTJOIN(", ",TRUE,IF(($B$2:$B$501=B724)*(ROW($B$2:$B$501)&lt;&gt;ROW(B724)),""&amp;$A$2:$A$501,"")),""))</f>
        <v/>
      </c>
      <c r="I724" s="29"/>
    </row>
    <row r="725" spans="1:9" x14ac:dyDescent="0.4">
      <c r="A725" s="29">
        <v>724</v>
      </c>
      <c r="B725" s="29"/>
      <c r="C725" s="29"/>
      <c r="D725" s="30"/>
      <c r="E725" s="29"/>
      <c r="F725" s="31"/>
      <c r="G725" s="29" t="str">
        <f>IF('단어 시험장'!E725="❌","❌","")</f>
        <v/>
      </c>
      <c r="H725" s="35" t="str" cm="1">
        <f t="array" ref="H725">IF(B725="","",IF(COUNTIF($B$2:$B$501,B725)&gt;1,"No."&amp;_xlfn.TEXTJOIN(", ",TRUE,IF(($B$2:$B$501=B725)*(ROW($B$2:$B$501)&lt;&gt;ROW(B725)),""&amp;$A$2:$A$501,"")),""))</f>
        <v/>
      </c>
      <c r="I725" s="29"/>
    </row>
    <row r="726" spans="1:9" x14ac:dyDescent="0.4">
      <c r="A726" s="29">
        <v>725</v>
      </c>
      <c r="B726" s="29"/>
      <c r="C726" s="29"/>
      <c r="D726" s="30"/>
      <c r="E726" s="29"/>
      <c r="F726" s="31"/>
      <c r="G726" s="29" t="str">
        <f>IF('단어 시험장'!E726="❌","❌","")</f>
        <v/>
      </c>
      <c r="H726" s="35" t="str" cm="1">
        <f t="array" ref="H726">IF(B726="","",IF(COUNTIF($B$2:$B$501,B726)&gt;1,"No."&amp;_xlfn.TEXTJOIN(", ",TRUE,IF(($B$2:$B$501=B726)*(ROW($B$2:$B$501)&lt;&gt;ROW(B726)),""&amp;$A$2:$A$501,"")),""))</f>
        <v/>
      </c>
      <c r="I726" s="29"/>
    </row>
    <row r="727" spans="1:9" x14ac:dyDescent="0.4">
      <c r="A727" s="29">
        <v>726</v>
      </c>
      <c r="B727" s="29"/>
      <c r="C727" s="29"/>
      <c r="D727" s="30"/>
      <c r="E727" s="29"/>
      <c r="F727" s="31"/>
      <c r="G727" s="29" t="str">
        <f>IF('단어 시험장'!E727="❌","❌","")</f>
        <v/>
      </c>
      <c r="H727" s="35" t="str" cm="1">
        <f t="array" ref="H727">IF(B727="","",IF(COUNTIF($B$2:$B$501,B727)&gt;1,"No."&amp;_xlfn.TEXTJOIN(", ",TRUE,IF(($B$2:$B$501=B727)*(ROW($B$2:$B$501)&lt;&gt;ROW(B727)),""&amp;$A$2:$A$501,"")),""))</f>
        <v/>
      </c>
      <c r="I727" s="29"/>
    </row>
    <row r="728" spans="1:9" x14ac:dyDescent="0.4">
      <c r="A728" s="29">
        <v>727</v>
      </c>
      <c r="B728" s="29"/>
      <c r="C728" s="29"/>
      <c r="D728" s="30"/>
      <c r="E728" s="29"/>
      <c r="F728" s="31"/>
      <c r="G728" s="29" t="str">
        <f>IF('단어 시험장'!E728="❌","❌","")</f>
        <v/>
      </c>
      <c r="H728" s="35" t="str" cm="1">
        <f t="array" ref="H728">IF(B728="","",IF(COUNTIF($B$2:$B$501,B728)&gt;1,"No."&amp;_xlfn.TEXTJOIN(", ",TRUE,IF(($B$2:$B$501=B728)*(ROW($B$2:$B$501)&lt;&gt;ROW(B728)),""&amp;$A$2:$A$501,"")),""))</f>
        <v/>
      </c>
      <c r="I728" s="29"/>
    </row>
    <row r="729" spans="1:9" x14ac:dyDescent="0.4">
      <c r="A729" s="29">
        <v>728</v>
      </c>
      <c r="B729" s="29"/>
      <c r="C729" s="29"/>
      <c r="D729" s="30"/>
      <c r="E729" s="29"/>
      <c r="F729" s="31"/>
      <c r="G729" s="29" t="str">
        <f>IF('단어 시험장'!E729="❌","❌","")</f>
        <v/>
      </c>
      <c r="H729" s="35" t="str" cm="1">
        <f t="array" ref="H729">IF(B729="","",IF(COUNTIF($B$2:$B$501,B729)&gt;1,"No."&amp;_xlfn.TEXTJOIN(", ",TRUE,IF(($B$2:$B$501=B729)*(ROW($B$2:$B$501)&lt;&gt;ROW(B729)),""&amp;$A$2:$A$501,"")),""))</f>
        <v/>
      </c>
      <c r="I729" s="29"/>
    </row>
    <row r="730" spans="1:9" x14ac:dyDescent="0.4">
      <c r="A730" s="29">
        <v>729</v>
      </c>
      <c r="B730" s="29"/>
      <c r="C730" s="29"/>
      <c r="D730" s="30"/>
      <c r="E730" s="29"/>
      <c r="F730" s="31"/>
      <c r="G730" s="29" t="str">
        <f>IF('단어 시험장'!E730="❌","❌","")</f>
        <v/>
      </c>
      <c r="H730" s="35" t="str" cm="1">
        <f t="array" ref="H730">IF(B730="","",IF(COUNTIF($B$2:$B$501,B730)&gt;1,"No."&amp;_xlfn.TEXTJOIN(", ",TRUE,IF(($B$2:$B$501=B730)*(ROW($B$2:$B$501)&lt;&gt;ROW(B730)),""&amp;$A$2:$A$501,"")),""))</f>
        <v/>
      </c>
      <c r="I730" s="29"/>
    </row>
    <row r="731" spans="1:9" x14ac:dyDescent="0.4">
      <c r="A731" s="29">
        <v>730</v>
      </c>
      <c r="B731" s="29"/>
      <c r="C731" s="29"/>
      <c r="D731" s="30"/>
      <c r="E731" s="29"/>
      <c r="F731" s="31"/>
      <c r="G731" s="29" t="str">
        <f>IF('단어 시험장'!E731="❌","❌","")</f>
        <v/>
      </c>
      <c r="H731" s="35" t="str" cm="1">
        <f t="array" ref="H731">IF(B731="","",IF(COUNTIF($B$2:$B$501,B731)&gt;1,"No."&amp;_xlfn.TEXTJOIN(", ",TRUE,IF(($B$2:$B$501=B731)*(ROW($B$2:$B$501)&lt;&gt;ROW(B731)),""&amp;$A$2:$A$501,"")),""))</f>
        <v/>
      </c>
      <c r="I731" s="29"/>
    </row>
    <row r="732" spans="1:9" x14ac:dyDescent="0.4">
      <c r="A732" s="29">
        <v>731</v>
      </c>
      <c r="B732" s="29"/>
      <c r="C732" s="29"/>
      <c r="D732" s="30"/>
      <c r="E732" s="29"/>
      <c r="F732" s="31"/>
      <c r="G732" s="29" t="str">
        <f>IF('단어 시험장'!E732="❌","❌","")</f>
        <v/>
      </c>
      <c r="H732" s="35" t="str" cm="1">
        <f t="array" ref="H732">IF(B732="","",IF(COUNTIF($B$2:$B$501,B732)&gt;1,"No."&amp;_xlfn.TEXTJOIN(", ",TRUE,IF(($B$2:$B$501=B732)*(ROW($B$2:$B$501)&lt;&gt;ROW(B732)),""&amp;$A$2:$A$501,"")),""))</f>
        <v/>
      </c>
      <c r="I732" s="29"/>
    </row>
    <row r="733" spans="1:9" x14ac:dyDescent="0.4">
      <c r="A733" s="29">
        <v>732</v>
      </c>
      <c r="B733" s="29"/>
      <c r="C733" s="29"/>
      <c r="D733" s="30"/>
      <c r="E733" s="29"/>
      <c r="F733" s="31"/>
      <c r="G733" s="29" t="str">
        <f>IF('단어 시험장'!E733="❌","❌","")</f>
        <v/>
      </c>
      <c r="H733" s="35" t="str" cm="1">
        <f t="array" ref="H733">IF(B733="","",IF(COUNTIF($B$2:$B$501,B733)&gt;1,"No."&amp;_xlfn.TEXTJOIN(", ",TRUE,IF(($B$2:$B$501=B733)*(ROW($B$2:$B$501)&lt;&gt;ROW(B733)),""&amp;$A$2:$A$501,"")),""))</f>
        <v/>
      </c>
      <c r="I733" s="29"/>
    </row>
    <row r="734" spans="1:9" x14ac:dyDescent="0.4">
      <c r="A734" s="29">
        <v>733</v>
      </c>
      <c r="B734" s="29"/>
      <c r="C734" s="29"/>
      <c r="D734" s="30"/>
      <c r="E734" s="29"/>
      <c r="F734" s="31"/>
      <c r="G734" s="29" t="str">
        <f>IF('단어 시험장'!E734="❌","❌","")</f>
        <v/>
      </c>
      <c r="H734" s="35" t="str" cm="1">
        <f t="array" ref="H734">IF(B734="","",IF(COUNTIF($B$2:$B$501,B734)&gt;1,"No."&amp;_xlfn.TEXTJOIN(", ",TRUE,IF(($B$2:$B$501=B734)*(ROW($B$2:$B$501)&lt;&gt;ROW(B734)),""&amp;$A$2:$A$501,"")),""))</f>
        <v/>
      </c>
      <c r="I734" s="29"/>
    </row>
    <row r="735" spans="1:9" x14ac:dyDescent="0.4">
      <c r="A735" s="29">
        <v>734</v>
      </c>
      <c r="B735" s="29"/>
      <c r="C735" s="29"/>
      <c r="D735" s="30"/>
      <c r="E735" s="29"/>
      <c r="F735" s="31"/>
      <c r="G735" s="29" t="str">
        <f>IF('단어 시험장'!E735="❌","❌","")</f>
        <v/>
      </c>
      <c r="H735" s="35" t="str" cm="1">
        <f t="array" ref="H735">IF(B735="","",IF(COUNTIF($B$2:$B$501,B735)&gt;1,"No."&amp;_xlfn.TEXTJOIN(", ",TRUE,IF(($B$2:$B$501=B735)*(ROW($B$2:$B$501)&lt;&gt;ROW(B735)),""&amp;$A$2:$A$501,"")),""))</f>
        <v/>
      </c>
      <c r="I735" s="29"/>
    </row>
    <row r="736" spans="1:9" x14ac:dyDescent="0.4">
      <c r="A736" s="29">
        <v>735</v>
      </c>
      <c r="B736" s="29"/>
      <c r="C736" s="29"/>
      <c r="D736" s="30"/>
      <c r="E736" s="29"/>
      <c r="F736" s="31"/>
      <c r="G736" s="29" t="str">
        <f>IF('단어 시험장'!E736="❌","❌","")</f>
        <v/>
      </c>
      <c r="H736" s="35" t="str" cm="1">
        <f t="array" ref="H736">IF(B736="","",IF(COUNTIF($B$2:$B$501,B736)&gt;1,"No."&amp;_xlfn.TEXTJOIN(", ",TRUE,IF(($B$2:$B$501=B736)*(ROW($B$2:$B$501)&lt;&gt;ROW(B736)),""&amp;$A$2:$A$501,"")),""))</f>
        <v/>
      </c>
      <c r="I736" s="29"/>
    </row>
    <row r="737" spans="1:9" x14ac:dyDescent="0.4">
      <c r="A737" s="29">
        <v>736</v>
      </c>
      <c r="B737" s="29"/>
      <c r="C737" s="29"/>
      <c r="D737" s="30"/>
      <c r="E737" s="29"/>
      <c r="F737" s="31"/>
      <c r="G737" s="29" t="str">
        <f>IF('단어 시험장'!E737="❌","❌","")</f>
        <v/>
      </c>
      <c r="H737" s="35" t="str" cm="1">
        <f t="array" ref="H737">IF(B737="","",IF(COUNTIF($B$2:$B$501,B737)&gt;1,"No."&amp;_xlfn.TEXTJOIN(", ",TRUE,IF(($B$2:$B$501=B737)*(ROW($B$2:$B$501)&lt;&gt;ROW(B737)),""&amp;$A$2:$A$501,"")),""))</f>
        <v/>
      </c>
      <c r="I737" s="29"/>
    </row>
    <row r="738" spans="1:9" x14ac:dyDescent="0.4">
      <c r="A738" s="29">
        <v>737</v>
      </c>
      <c r="B738" s="29"/>
      <c r="C738" s="29"/>
      <c r="D738" s="30"/>
      <c r="E738" s="29"/>
      <c r="F738" s="31"/>
      <c r="G738" s="29" t="str">
        <f>IF('단어 시험장'!E738="❌","❌","")</f>
        <v/>
      </c>
      <c r="H738" s="35" t="str" cm="1">
        <f t="array" ref="H738">IF(B738="","",IF(COUNTIF($B$2:$B$501,B738)&gt;1,"No."&amp;_xlfn.TEXTJOIN(", ",TRUE,IF(($B$2:$B$501=B738)*(ROW($B$2:$B$501)&lt;&gt;ROW(B738)),""&amp;$A$2:$A$501,"")),""))</f>
        <v/>
      </c>
      <c r="I738" s="29"/>
    </row>
    <row r="739" spans="1:9" x14ac:dyDescent="0.4">
      <c r="A739" s="29">
        <v>738</v>
      </c>
      <c r="B739" s="29"/>
      <c r="C739" s="29"/>
      <c r="D739" s="30"/>
      <c r="E739" s="29"/>
      <c r="F739" s="31"/>
      <c r="G739" s="29" t="str">
        <f>IF('단어 시험장'!E739="❌","❌","")</f>
        <v/>
      </c>
      <c r="H739" s="35" t="str" cm="1">
        <f t="array" ref="H739">IF(B739="","",IF(COUNTIF($B$2:$B$501,B739)&gt;1,"No."&amp;_xlfn.TEXTJOIN(", ",TRUE,IF(($B$2:$B$501=B739)*(ROW($B$2:$B$501)&lt;&gt;ROW(B739)),""&amp;$A$2:$A$501,"")),""))</f>
        <v/>
      </c>
      <c r="I739" s="29"/>
    </row>
    <row r="740" spans="1:9" x14ac:dyDescent="0.4">
      <c r="A740" s="29">
        <v>739</v>
      </c>
      <c r="B740" s="29"/>
      <c r="C740" s="29"/>
      <c r="D740" s="30"/>
      <c r="E740" s="29"/>
      <c r="F740" s="31"/>
      <c r="G740" s="29" t="str">
        <f>IF('단어 시험장'!E740="❌","❌","")</f>
        <v/>
      </c>
      <c r="H740" s="35" t="str" cm="1">
        <f t="array" ref="H740">IF(B740="","",IF(COUNTIF($B$2:$B$501,B740)&gt;1,"No."&amp;_xlfn.TEXTJOIN(", ",TRUE,IF(($B$2:$B$501=B740)*(ROW($B$2:$B$501)&lt;&gt;ROW(B740)),""&amp;$A$2:$A$501,"")),""))</f>
        <v/>
      </c>
      <c r="I740" s="29"/>
    </row>
    <row r="741" spans="1:9" x14ac:dyDescent="0.4">
      <c r="A741" s="29">
        <v>740</v>
      </c>
      <c r="B741" s="29"/>
      <c r="C741" s="29"/>
      <c r="D741" s="30"/>
      <c r="E741" s="29"/>
      <c r="F741" s="31"/>
      <c r="G741" s="29" t="str">
        <f>IF('단어 시험장'!E741="❌","❌","")</f>
        <v/>
      </c>
      <c r="H741" s="35" t="str" cm="1">
        <f t="array" ref="H741">IF(B741="","",IF(COUNTIF($B$2:$B$501,B741)&gt;1,"No."&amp;_xlfn.TEXTJOIN(", ",TRUE,IF(($B$2:$B$501=B741)*(ROW($B$2:$B$501)&lt;&gt;ROW(B741)),""&amp;$A$2:$A$501,"")),""))</f>
        <v/>
      </c>
      <c r="I741" s="29"/>
    </row>
    <row r="742" spans="1:9" x14ac:dyDescent="0.4">
      <c r="A742" s="29">
        <v>741</v>
      </c>
      <c r="B742" s="29"/>
      <c r="C742" s="29"/>
      <c r="D742" s="30"/>
      <c r="E742" s="29"/>
      <c r="F742" s="31"/>
      <c r="G742" s="29" t="str">
        <f>IF('단어 시험장'!E742="❌","❌","")</f>
        <v/>
      </c>
      <c r="H742" s="35" t="str" cm="1">
        <f t="array" ref="H742">IF(B742="","",IF(COUNTIF($B$2:$B$501,B742)&gt;1,"No."&amp;_xlfn.TEXTJOIN(", ",TRUE,IF(($B$2:$B$501=B742)*(ROW($B$2:$B$501)&lt;&gt;ROW(B742)),""&amp;$A$2:$A$501,"")),""))</f>
        <v/>
      </c>
      <c r="I742" s="29"/>
    </row>
    <row r="743" spans="1:9" x14ac:dyDescent="0.4">
      <c r="A743" s="29">
        <v>742</v>
      </c>
      <c r="B743" s="29"/>
      <c r="C743" s="29"/>
      <c r="D743" s="30"/>
      <c r="E743" s="29"/>
      <c r="F743" s="31"/>
      <c r="G743" s="29" t="str">
        <f>IF('단어 시험장'!E743="❌","❌","")</f>
        <v/>
      </c>
      <c r="H743" s="35" t="str" cm="1">
        <f t="array" ref="H743">IF(B743="","",IF(COUNTIF($B$2:$B$501,B743)&gt;1,"No."&amp;_xlfn.TEXTJOIN(", ",TRUE,IF(($B$2:$B$501=B743)*(ROW($B$2:$B$501)&lt;&gt;ROW(B743)),""&amp;$A$2:$A$501,"")),""))</f>
        <v/>
      </c>
      <c r="I743" s="29"/>
    </row>
    <row r="744" spans="1:9" x14ac:dyDescent="0.4">
      <c r="A744" s="29">
        <v>743</v>
      </c>
      <c r="B744" s="29"/>
      <c r="C744" s="29"/>
      <c r="D744" s="30"/>
      <c r="E744" s="29"/>
      <c r="F744" s="31"/>
      <c r="G744" s="29" t="str">
        <f>IF('단어 시험장'!E744="❌","❌","")</f>
        <v/>
      </c>
      <c r="H744" s="35" t="str" cm="1">
        <f t="array" ref="H744">IF(B744="","",IF(COUNTIF($B$2:$B$501,B744)&gt;1,"No."&amp;_xlfn.TEXTJOIN(", ",TRUE,IF(($B$2:$B$501=B744)*(ROW($B$2:$B$501)&lt;&gt;ROW(B744)),""&amp;$A$2:$A$501,"")),""))</f>
        <v/>
      </c>
      <c r="I744" s="29"/>
    </row>
    <row r="745" spans="1:9" x14ac:dyDescent="0.4">
      <c r="A745" s="29">
        <v>744</v>
      </c>
      <c r="B745" s="29"/>
      <c r="C745" s="29"/>
      <c r="D745" s="30"/>
      <c r="E745" s="29"/>
      <c r="F745" s="31"/>
      <c r="G745" s="29" t="str">
        <f>IF('단어 시험장'!E745="❌","❌","")</f>
        <v/>
      </c>
      <c r="H745" s="35" t="str" cm="1">
        <f t="array" ref="H745">IF(B745="","",IF(COUNTIF($B$2:$B$501,B745)&gt;1,"No."&amp;_xlfn.TEXTJOIN(", ",TRUE,IF(($B$2:$B$501=B745)*(ROW($B$2:$B$501)&lt;&gt;ROW(B745)),""&amp;$A$2:$A$501,"")),""))</f>
        <v/>
      </c>
      <c r="I745" s="29"/>
    </row>
    <row r="746" spans="1:9" x14ac:dyDescent="0.4">
      <c r="A746" s="29">
        <v>745</v>
      </c>
      <c r="B746" s="29"/>
      <c r="C746" s="29"/>
      <c r="D746" s="30"/>
      <c r="E746" s="29"/>
      <c r="F746" s="31"/>
      <c r="G746" s="29" t="str">
        <f>IF('단어 시험장'!E746="❌","❌","")</f>
        <v/>
      </c>
      <c r="H746" s="35" t="str" cm="1">
        <f t="array" ref="H746">IF(B746="","",IF(COUNTIF($B$2:$B$501,B746)&gt;1,"No."&amp;_xlfn.TEXTJOIN(", ",TRUE,IF(($B$2:$B$501=B746)*(ROW($B$2:$B$501)&lt;&gt;ROW(B746)),""&amp;$A$2:$A$501,"")),""))</f>
        <v/>
      </c>
      <c r="I746" s="29"/>
    </row>
    <row r="747" spans="1:9" x14ac:dyDescent="0.4">
      <c r="A747" s="29">
        <v>746</v>
      </c>
      <c r="B747" s="29"/>
      <c r="C747" s="29"/>
      <c r="D747" s="30"/>
      <c r="E747" s="29"/>
      <c r="F747" s="31"/>
      <c r="G747" s="29" t="str">
        <f>IF('단어 시험장'!E747="❌","❌","")</f>
        <v/>
      </c>
      <c r="H747" s="35" t="str" cm="1">
        <f t="array" ref="H747">IF(B747="","",IF(COUNTIF($B$2:$B$501,B747)&gt;1,"No."&amp;_xlfn.TEXTJOIN(", ",TRUE,IF(($B$2:$B$501=B747)*(ROW($B$2:$B$501)&lt;&gt;ROW(B747)),""&amp;$A$2:$A$501,"")),""))</f>
        <v/>
      </c>
      <c r="I747" s="29"/>
    </row>
    <row r="748" spans="1:9" x14ac:dyDescent="0.4">
      <c r="A748" s="29">
        <v>747</v>
      </c>
      <c r="B748" s="29"/>
      <c r="C748" s="29"/>
      <c r="D748" s="30"/>
      <c r="E748" s="29"/>
      <c r="F748" s="31"/>
      <c r="G748" s="29" t="str">
        <f>IF('단어 시험장'!E748="❌","❌","")</f>
        <v/>
      </c>
      <c r="H748" s="35" t="str" cm="1">
        <f t="array" ref="H748">IF(B748="","",IF(COUNTIF($B$2:$B$501,B748)&gt;1,"No."&amp;_xlfn.TEXTJOIN(", ",TRUE,IF(($B$2:$B$501=B748)*(ROW($B$2:$B$501)&lt;&gt;ROW(B748)),""&amp;$A$2:$A$501,"")),""))</f>
        <v/>
      </c>
      <c r="I748" s="29"/>
    </row>
    <row r="749" spans="1:9" x14ac:dyDescent="0.4">
      <c r="A749" s="29">
        <v>748</v>
      </c>
      <c r="B749" s="29"/>
      <c r="C749" s="29"/>
      <c r="D749" s="30"/>
      <c r="E749" s="29"/>
      <c r="F749" s="31"/>
      <c r="G749" s="29" t="str">
        <f>IF('단어 시험장'!E749="❌","❌","")</f>
        <v/>
      </c>
      <c r="H749" s="35" t="str" cm="1">
        <f t="array" ref="H749">IF(B749="","",IF(COUNTIF($B$2:$B$501,B749)&gt;1,"No."&amp;_xlfn.TEXTJOIN(", ",TRUE,IF(($B$2:$B$501=B749)*(ROW($B$2:$B$501)&lt;&gt;ROW(B749)),""&amp;$A$2:$A$501,"")),""))</f>
        <v/>
      </c>
      <c r="I749" s="29"/>
    </row>
    <row r="750" spans="1:9" x14ac:dyDescent="0.4">
      <c r="A750" s="29">
        <v>749</v>
      </c>
      <c r="B750" s="29"/>
      <c r="C750" s="29"/>
      <c r="D750" s="30"/>
      <c r="E750" s="29"/>
      <c r="F750" s="31"/>
      <c r="G750" s="29" t="str">
        <f>IF('단어 시험장'!E750="❌","❌","")</f>
        <v/>
      </c>
      <c r="H750" s="35" t="str" cm="1">
        <f t="array" ref="H750">IF(B750="","",IF(COUNTIF($B$2:$B$501,B750)&gt;1,"No."&amp;_xlfn.TEXTJOIN(", ",TRUE,IF(($B$2:$B$501=B750)*(ROW($B$2:$B$501)&lt;&gt;ROW(B750)),""&amp;$A$2:$A$501,"")),""))</f>
        <v/>
      </c>
      <c r="I750" s="29"/>
    </row>
    <row r="751" spans="1:9" x14ac:dyDescent="0.4">
      <c r="A751" s="29">
        <v>750</v>
      </c>
      <c r="B751" s="29"/>
      <c r="C751" s="29"/>
      <c r="D751" s="30"/>
      <c r="E751" s="29"/>
      <c r="F751" s="31"/>
      <c r="G751" s="29" t="str">
        <f>IF('단어 시험장'!E751="❌","❌","")</f>
        <v/>
      </c>
      <c r="H751" s="35" t="str" cm="1">
        <f t="array" ref="H751">IF(B751="","",IF(COUNTIF($B$2:$B$501,B751)&gt;1,"No."&amp;_xlfn.TEXTJOIN(", ",TRUE,IF(($B$2:$B$501=B751)*(ROW($B$2:$B$501)&lt;&gt;ROW(B751)),""&amp;$A$2:$A$501,"")),""))</f>
        <v/>
      </c>
      <c r="I751" s="29"/>
    </row>
    <row r="752" spans="1:9" x14ac:dyDescent="0.4">
      <c r="A752" s="29">
        <v>751</v>
      </c>
      <c r="B752" s="29"/>
      <c r="C752" s="29"/>
      <c r="D752" s="30"/>
      <c r="E752" s="29"/>
      <c r="F752" s="31"/>
      <c r="G752" s="29" t="str">
        <f>IF('단어 시험장'!E752="❌","❌","")</f>
        <v/>
      </c>
      <c r="H752" s="35" t="str" cm="1">
        <f t="array" ref="H752">IF(B752="","",IF(COUNTIF($B$2:$B$501,B752)&gt;1,"No."&amp;_xlfn.TEXTJOIN(", ",TRUE,IF(($B$2:$B$501=B752)*(ROW($B$2:$B$501)&lt;&gt;ROW(B752)),""&amp;$A$2:$A$501,"")),""))</f>
        <v/>
      </c>
      <c r="I752" s="29"/>
    </row>
    <row r="753" spans="1:9" x14ac:dyDescent="0.4">
      <c r="A753" s="29">
        <v>752</v>
      </c>
      <c r="B753" s="29"/>
      <c r="C753" s="29"/>
      <c r="D753" s="30"/>
      <c r="E753" s="29"/>
      <c r="F753" s="31"/>
      <c r="G753" s="29" t="str">
        <f>IF('단어 시험장'!E753="❌","❌","")</f>
        <v/>
      </c>
      <c r="H753" s="35" t="str" cm="1">
        <f t="array" ref="H753">IF(B753="","",IF(COUNTIF($B$2:$B$501,B753)&gt;1,"No."&amp;_xlfn.TEXTJOIN(", ",TRUE,IF(($B$2:$B$501=B753)*(ROW($B$2:$B$501)&lt;&gt;ROW(B753)),""&amp;$A$2:$A$501,"")),""))</f>
        <v/>
      </c>
      <c r="I753" s="29"/>
    </row>
    <row r="754" spans="1:9" x14ac:dyDescent="0.4">
      <c r="A754" s="29">
        <v>753</v>
      </c>
      <c r="B754" s="29"/>
      <c r="C754" s="29"/>
      <c r="D754" s="30"/>
      <c r="E754" s="29"/>
      <c r="F754" s="31"/>
      <c r="G754" s="29" t="str">
        <f>IF('단어 시험장'!E754="❌","❌","")</f>
        <v/>
      </c>
      <c r="H754" s="35" t="str" cm="1">
        <f t="array" ref="H754">IF(B754="","",IF(COUNTIF($B$2:$B$501,B754)&gt;1,"No."&amp;_xlfn.TEXTJOIN(", ",TRUE,IF(($B$2:$B$501=B754)*(ROW($B$2:$B$501)&lt;&gt;ROW(B754)),""&amp;$A$2:$A$501,"")),""))</f>
        <v/>
      </c>
      <c r="I754" s="29"/>
    </row>
    <row r="755" spans="1:9" x14ac:dyDescent="0.4">
      <c r="A755" s="29">
        <v>754</v>
      </c>
      <c r="B755" s="29"/>
      <c r="C755" s="29"/>
      <c r="D755" s="30"/>
      <c r="E755" s="29"/>
      <c r="F755" s="31"/>
      <c r="G755" s="29" t="str">
        <f>IF('단어 시험장'!E755="❌","❌","")</f>
        <v/>
      </c>
      <c r="H755" s="35" t="str" cm="1">
        <f t="array" ref="H755">IF(B755="","",IF(COUNTIF($B$2:$B$501,B755)&gt;1,"No."&amp;_xlfn.TEXTJOIN(", ",TRUE,IF(($B$2:$B$501=B755)*(ROW($B$2:$B$501)&lt;&gt;ROW(B755)),""&amp;$A$2:$A$501,"")),""))</f>
        <v/>
      </c>
      <c r="I755" s="29"/>
    </row>
    <row r="756" spans="1:9" x14ac:dyDescent="0.4">
      <c r="A756" s="29">
        <v>755</v>
      </c>
      <c r="B756" s="29"/>
      <c r="C756" s="29"/>
      <c r="D756" s="30"/>
      <c r="E756" s="29"/>
      <c r="F756" s="31"/>
      <c r="G756" s="29" t="str">
        <f>IF('단어 시험장'!E756="❌","❌","")</f>
        <v/>
      </c>
      <c r="H756" s="35" t="str" cm="1">
        <f t="array" ref="H756">IF(B756="","",IF(COUNTIF($B$2:$B$501,B756)&gt;1,"No."&amp;_xlfn.TEXTJOIN(", ",TRUE,IF(($B$2:$B$501=B756)*(ROW($B$2:$B$501)&lt;&gt;ROW(B756)),""&amp;$A$2:$A$501,"")),""))</f>
        <v/>
      </c>
      <c r="I756" s="29"/>
    </row>
    <row r="757" spans="1:9" x14ac:dyDescent="0.4">
      <c r="A757" s="29">
        <v>756</v>
      </c>
      <c r="B757" s="29"/>
      <c r="C757" s="29"/>
      <c r="D757" s="30"/>
      <c r="E757" s="29"/>
      <c r="F757" s="31"/>
      <c r="G757" s="29" t="str">
        <f>IF('단어 시험장'!E757="❌","❌","")</f>
        <v/>
      </c>
      <c r="H757" s="35" t="str" cm="1">
        <f t="array" ref="H757">IF(B757="","",IF(COUNTIF($B$2:$B$501,B757)&gt;1,"No."&amp;_xlfn.TEXTJOIN(", ",TRUE,IF(($B$2:$B$501=B757)*(ROW($B$2:$B$501)&lt;&gt;ROW(B757)),""&amp;$A$2:$A$501,"")),""))</f>
        <v/>
      </c>
      <c r="I757" s="29"/>
    </row>
    <row r="758" spans="1:9" x14ac:dyDescent="0.4">
      <c r="A758" s="29">
        <v>757</v>
      </c>
      <c r="B758" s="29"/>
      <c r="C758" s="29"/>
      <c r="D758" s="30"/>
      <c r="E758" s="29"/>
      <c r="F758" s="31"/>
      <c r="G758" s="29" t="str">
        <f>IF('단어 시험장'!E758="❌","❌","")</f>
        <v/>
      </c>
      <c r="H758" s="35" t="str" cm="1">
        <f t="array" ref="H758">IF(B758="","",IF(COUNTIF($B$2:$B$501,B758)&gt;1,"No."&amp;_xlfn.TEXTJOIN(", ",TRUE,IF(($B$2:$B$501=B758)*(ROW($B$2:$B$501)&lt;&gt;ROW(B758)),""&amp;$A$2:$A$501,"")),""))</f>
        <v/>
      </c>
      <c r="I758" s="29"/>
    </row>
    <row r="759" spans="1:9" x14ac:dyDescent="0.4">
      <c r="A759" s="29">
        <v>758</v>
      </c>
      <c r="B759" s="29"/>
      <c r="C759" s="29"/>
      <c r="D759" s="30"/>
      <c r="E759" s="29"/>
      <c r="F759" s="31"/>
      <c r="G759" s="29" t="str">
        <f>IF('단어 시험장'!E759="❌","❌","")</f>
        <v/>
      </c>
      <c r="H759" s="35" t="str" cm="1">
        <f t="array" ref="H759">IF(B759="","",IF(COUNTIF($B$2:$B$501,B759)&gt;1,"No."&amp;_xlfn.TEXTJOIN(", ",TRUE,IF(($B$2:$B$501=B759)*(ROW($B$2:$B$501)&lt;&gt;ROW(B759)),""&amp;$A$2:$A$501,"")),""))</f>
        <v/>
      </c>
      <c r="I759" s="29"/>
    </row>
    <row r="760" spans="1:9" x14ac:dyDescent="0.4">
      <c r="A760" s="29">
        <v>759</v>
      </c>
      <c r="B760" s="29"/>
      <c r="C760" s="29"/>
      <c r="D760" s="30"/>
      <c r="E760" s="29"/>
      <c r="F760" s="31"/>
      <c r="G760" s="29" t="str">
        <f>IF('단어 시험장'!E760="❌","❌","")</f>
        <v/>
      </c>
      <c r="H760" s="35" t="str" cm="1">
        <f t="array" ref="H760">IF(B760="","",IF(COUNTIF($B$2:$B$501,B760)&gt;1,"No."&amp;_xlfn.TEXTJOIN(", ",TRUE,IF(($B$2:$B$501=B760)*(ROW($B$2:$B$501)&lt;&gt;ROW(B760)),""&amp;$A$2:$A$501,"")),""))</f>
        <v/>
      </c>
      <c r="I760" s="29"/>
    </row>
    <row r="761" spans="1:9" x14ac:dyDescent="0.4">
      <c r="A761" s="29">
        <v>760</v>
      </c>
      <c r="B761" s="29"/>
      <c r="C761" s="29"/>
      <c r="D761" s="30"/>
      <c r="E761" s="29"/>
      <c r="F761" s="31"/>
      <c r="G761" s="29" t="str">
        <f>IF('단어 시험장'!E761="❌","❌","")</f>
        <v/>
      </c>
      <c r="H761" s="35" t="str" cm="1">
        <f t="array" ref="H761">IF(B761="","",IF(COUNTIF($B$2:$B$501,B761)&gt;1,"No."&amp;_xlfn.TEXTJOIN(", ",TRUE,IF(($B$2:$B$501=B761)*(ROW($B$2:$B$501)&lt;&gt;ROW(B761)),""&amp;$A$2:$A$501,"")),""))</f>
        <v/>
      </c>
      <c r="I761" s="29"/>
    </row>
    <row r="762" spans="1:9" x14ac:dyDescent="0.4">
      <c r="A762" s="29">
        <v>761</v>
      </c>
      <c r="B762" s="29"/>
      <c r="C762" s="29"/>
      <c r="D762" s="30"/>
      <c r="E762" s="29"/>
      <c r="F762" s="31"/>
      <c r="G762" s="29" t="str">
        <f>IF('단어 시험장'!E762="❌","❌","")</f>
        <v/>
      </c>
      <c r="H762" s="35" t="str" cm="1">
        <f t="array" ref="H762">IF(B762="","",IF(COUNTIF($B$2:$B$501,B762)&gt;1,"No."&amp;_xlfn.TEXTJOIN(", ",TRUE,IF(($B$2:$B$501=B762)*(ROW($B$2:$B$501)&lt;&gt;ROW(B762)),""&amp;$A$2:$A$501,"")),""))</f>
        <v/>
      </c>
      <c r="I762" s="29"/>
    </row>
    <row r="763" spans="1:9" x14ac:dyDescent="0.4">
      <c r="A763" s="29">
        <v>762</v>
      </c>
      <c r="B763" s="29"/>
      <c r="C763" s="29"/>
      <c r="D763" s="30"/>
      <c r="E763" s="29"/>
      <c r="F763" s="31"/>
      <c r="G763" s="29" t="str">
        <f>IF('단어 시험장'!E763="❌","❌","")</f>
        <v/>
      </c>
      <c r="H763" s="35" t="str" cm="1">
        <f t="array" ref="H763">IF(B763="","",IF(COUNTIF($B$2:$B$501,B763)&gt;1,"No."&amp;_xlfn.TEXTJOIN(", ",TRUE,IF(($B$2:$B$501=B763)*(ROW($B$2:$B$501)&lt;&gt;ROW(B763)),""&amp;$A$2:$A$501,"")),""))</f>
        <v/>
      </c>
      <c r="I763" s="29"/>
    </row>
    <row r="764" spans="1:9" x14ac:dyDescent="0.4">
      <c r="A764" s="29">
        <v>763</v>
      </c>
      <c r="B764" s="29"/>
      <c r="C764" s="29"/>
      <c r="D764" s="30"/>
      <c r="E764" s="29"/>
      <c r="F764" s="31"/>
      <c r="G764" s="29" t="str">
        <f>IF('단어 시험장'!E764="❌","❌","")</f>
        <v/>
      </c>
      <c r="H764" s="35" t="str" cm="1">
        <f t="array" ref="H764">IF(B764="","",IF(COUNTIF($B$2:$B$501,B764)&gt;1,"No."&amp;_xlfn.TEXTJOIN(", ",TRUE,IF(($B$2:$B$501=B764)*(ROW($B$2:$B$501)&lt;&gt;ROW(B764)),""&amp;$A$2:$A$501,"")),""))</f>
        <v/>
      </c>
      <c r="I764" s="29"/>
    </row>
    <row r="765" spans="1:9" x14ac:dyDescent="0.4">
      <c r="A765" s="29">
        <v>764</v>
      </c>
      <c r="B765" s="29"/>
      <c r="C765" s="29"/>
      <c r="D765" s="30"/>
      <c r="E765" s="29"/>
      <c r="F765" s="31"/>
      <c r="G765" s="29" t="str">
        <f>IF('단어 시험장'!E765="❌","❌","")</f>
        <v/>
      </c>
      <c r="H765" s="35" t="str" cm="1">
        <f t="array" ref="H765">IF(B765="","",IF(COUNTIF($B$2:$B$501,B765)&gt;1,"No."&amp;_xlfn.TEXTJOIN(", ",TRUE,IF(($B$2:$B$501=B765)*(ROW($B$2:$B$501)&lt;&gt;ROW(B765)),""&amp;$A$2:$A$501,"")),""))</f>
        <v/>
      </c>
      <c r="I765" s="29"/>
    </row>
    <row r="766" spans="1:9" x14ac:dyDescent="0.4">
      <c r="A766" s="29">
        <v>765</v>
      </c>
      <c r="B766" s="29"/>
      <c r="C766" s="29"/>
      <c r="D766" s="30"/>
      <c r="E766" s="29"/>
      <c r="F766" s="31"/>
      <c r="G766" s="29" t="str">
        <f>IF('단어 시험장'!E766="❌","❌","")</f>
        <v/>
      </c>
      <c r="H766" s="35" t="str" cm="1">
        <f t="array" ref="H766">IF(B766="","",IF(COUNTIF($B$2:$B$501,B766)&gt;1,"No."&amp;_xlfn.TEXTJOIN(", ",TRUE,IF(($B$2:$B$501=B766)*(ROW($B$2:$B$501)&lt;&gt;ROW(B766)),""&amp;$A$2:$A$501,"")),""))</f>
        <v/>
      </c>
      <c r="I766" s="29"/>
    </row>
    <row r="767" spans="1:9" x14ac:dyDescent="0.4">
      <c r="A767" s="29">
        <v>766</v>
      </c>
      <c r="B767" s="29"/>
      <c r="C767" s="29"/>
      <c r="D767" s="30"/>
      <c r="E767" s="29"/>
      <c r="F767" s="31"/>
      <c r="G767" s="29" t="str">
        <f>IF('단어 시험장'!E767="❌","❌","")</f>
        <v/>
      </c>
      <c r="H767" s="35" t="str" cm="1">
        <f t="array" ref="H767">IF(B767="","",IF(COUNTIF($B$2:$B$501,B767)&gt;1,"No."&amp;_xlfn.TEXTJOIN(", ",TRUE,IF(($B$2:$B$501=B767)*(ROW($B$2:$B$501)&lt;&gt;ROW(B767)),""&amp;$A$2:$A$501,"")),""))</f>
        <v/>
      </c>
      <c r="I767" s="29"/>
    </row>
    <row r="768" spans="1:9" x14ac:dyDescent="0.4">
      <c r="A768" s="29">
        <v>767</v>
      </c>
      <c r="B768" s="29"/>
      <c r="C768" s="29"/>
      <c r="D768" s="30"/>
      <c r="E768" s="29"/>
      <c r="F768" s="31"/>
      <c r="G768" s="29" t="str">
        <f>IF('단어 시험장'!E768="❌","❌","")</f>
        <v/>
      </c>
      <c r="H768" s="35" t="str" cm="1">
        <f t="array" ref="H768">IF(B768="","",IF(COUNTIF($B$2:$B$501,B768)&gt;1,"No."&amp;_xlfn.TEXTJOIN(", ",TRUE,IF(($B$2:$B$501=B768)*(ROW($B$2:$B$501)&lt;&gt;ROW(B768)),""&amp;$A$2:$A$501,"")),""))</f>
        <v/>
      </c>
      <c r="I768" s="29"/>
    </row>
    <row r="769" spans="1:9" x14ac:dyDescent="0.4">
      <c r="A769" s="29">
        <v>768</v>
      </c>
      <c r="B769" s="29"/>
      <c r="C769" s="29"/>
      <c r="D769" s="30"/>
      <c r="E769" s="29"/>
      <c r="F769" s="31"/>
      <c r="G769" s="29" t="str">
        <f>IF('단어 시험장'!E769="❌","❌","")</f>
        <v/>
      </c>
      <c r="H769" s="35" t="str" cm="1">
        <f t="array" ref="H769">IF(B769="","",IF(COUNTIF($B$2:$B$501,B769)&gt;1,"No."&amp;_xlfn.TEXTJOIN(", ",TRUE,IF(($B$2:$B$501=B769)*(ROW($B$2:$B$501)&lt;&gt;ROW(B769)),""&amp;$A$2:$A$501,"")),""))</f>
        <v/>
      </c>
      <c r="I769" s="29"/>
    </row>
    <row r="770" spans="1:9" x14ac:dyDescent="0.4">
      <c r="A770" s="29">
        <v>769</v>
      </c>
      <c r="B770" s="29"/>
      <c r="C770" s="29"/>
      <c r="D770" s="30"/>
      <c r="E770" s="29"/>
      <c r="F770" s="31"/>
      <c r="G770" s="29" t="str">
        <f>IF('단어 시험장'!E770="❌","❌","")</f>
        <v/>
      </c>
      <c r="H770" s="35" t="str" cm="1">
        <f t="array" ref="H770">IF(B770="","",IF(COUNTIF($B$2:$B$501,B770)&gt;1,"No."&amp;_xlfn.TEXTJOIN(", ",TRUE,IF(($B$2:$B$501=B770)*(ROW($B$2:$B$501)&lt;&gt;ROW(B770)),""&amp;$A$2:$A$501,"")),""))</f>
        <v/>
      </c>
      <c r="I770" s="29"/>
    </row>
    <row r="771" spans="1:9" x14ac:dyDescent="0.4">
      <c r="A771" s="29">
        <v>770</v>
      </c>
      <c r="B771" s="29"/>
      <c r="C771" s="29"/>
      <c r="D771" s="30"/>
      <c r="E771" s="29"/>
      <c r="F771" s="31"/>
      <c r="G771" s="29" t="str">
        <f>IF('단어 시험장'!E771="❌","❌","")</f>
        <v/>
      </c>
      <c r="H771" s="35" t="str" cm="1">
        <f t="array" ref="H771">IF(B771="","",IF(COUNTIF($B$2:$B$501,B771)&gt;1,"No."&amp;_xlfn.TEXTJOIN(", ",TRUE,IF(($B$2:$B$501=B771)*(ROW($B$2:$B$501)&lt;&gt;ROW(B771)),""&amp;$A$2:$A$501,"")),""))</f>
        <v/>
      </c>
      <c r="I771" s="29"/>
    </row>
    <row r="772" spans="1:9" x14ac:dyDescent="0.4">
      <c r="A772" s="29">
        <v>771</v>
      </c>
      <c r="B772" s="29"/>
      <c r="C772" s="29"/>
      <c r="D772" s="30"/>
      <c r="E772" s="29"/>
      <c r="F772" s="31"/>
      <c r="G772" s="29" t="str">
        <f>IF('단어 시험장'!E772="❌","❌","")</f>
        <v/>
      </c>
      <c r="H772" s="35" t="str" cm="1">
        <f t="array" ref="H772">IF(B772="","",IF(COUNTIF($B$2:$B$501,B772)&gt;1,"No."&amp;_xlfn.TEXTJOIN(", ",TRUE,IF(($B$2:$B$501=B772)*(ROW($B$2:$B$501)&lt;&gt;ROW(B772)),""&amp;$A$2:$A$501,"")),""))</f>
        <v/>
      </c>
      <c r="I772" s="29"/>
    </row>
    <row r="773" spans="1:9" x14ac:dyDescent="0.4">
      <c r="A773" s="29">
        <v>772</v>
      </c>
      <c r="B773" s="29"/>
      <c r="C773" s="29"/>
      <c r="D773" s="30"/>
      <c r="E773" s="29"/>
      <c r="F773" s="31"/>
      <c r="G773" s="29" t="str">
        <f>IF('단어 시험장'!E773="❌","❌","")</f>
        <v/>
      </c>
      <c r="H773" s="35" t="str" cm="1">
        <f t="array" ref="H773">IF(B773="","",IF(COUNTIF($B$2:$B$501,B773)&gt;1,"No."&amp;_xlfn.TEXTJOIN(", ",TRUE,IF(($B$2:$B$501=B773)*(ROW($B$2:$B$501)&lt;&gt;ROW(B773)),""&amp;$A$2:$A$501,"")),""))</f>
        <v/>
      </c>
      <c r="I773" s="29"/>
    </row>
    <row r="774" spans="1:9" x14ac:dyDescent="0.4">
      <c r="A774" s="29">
        <v>773</v>
      </c>
      <c r="B774" s="29"/>
      <c r="C774" s="29"/>
      <c r="D774" s="30"/>
      <c r="E774" s="29"/>
      <c r="F774" s="31"/>
      <c r="G774" s="29" t="str">
        <f>IF('단어 시험장'!E774="❌","❌","")</f>
        <v/>
      </c>
      <c r="H774" s="35" t="str" cm="1">
        <f t="array" ref="H774">IF(B774="","",IF(COUNTIF($B$2:$B$501,B774)&gt;1,"No."&amp;_xlfn.TEXTJOIN(", ",TRUE,IF(($B$2:$B$501=B774)*(ROW($B$2:$B$501)&lt;&gt;ROW(B774)),""&amp;$A$2:$A$501,"")),""))</f>
        <v/>
      </c>
      <c r="I774" s="29"/>
    </row>
    <row r="775" spans="1:9" x14ac:dyDescent="0.4">
      <c r="A775" s="29">
        <v>774</v>
      </c>
      <c r="B775" s="29"/>
      <c r="C775" s="29"/>
      <c r="D775" s="30"/>
      <c r="E775" s="29"/>
      <c r="F775" s="31"/>
      <c r="G775" s="29" t="str">
        <f>IF('단어 시험장'!E775="❌","❌","")</f>
        <v/>
      </c>
      <c r="H775" s="35" t="str" cm="1">
        <f t="array" ref="H775">IF(B775="","",IF(COUNTIF($B$2:$B$501,B775)&gt;1,"No."&amp;_xlfn.TEXTJOIN(", ",TRUE,IF(($B$2:$B$501=B775)*(ROW($B$2:$B$501)&lt;&gt;ROW(B775)),""&amp;$A$2:$A$501,"")),""))</f>
        <v/>
      </c>
      <c r="I775" s="29"/>
    </row>
    <row r="776" spans="1:9" x14ac:dyDescent="0.4">
      <c r="A776" s="29">
        <v>775</v>
      </c>
      <c r="B776" s="29"/>
      <c r="C776" s="29"/>
      <c r="D776" s="30"/>
      <c r="E776" s="29"/>
      <c r="F776" s="31"/>
      <c r="G776" s="29" t="str">
        <f>IF('단어 시험장'!E776="❌","❌","")</f>
        <v/>
      </c>
      <c r="H776" s="35" t="str" cm="1">
        <f t="array" ref="H776">IF(B776="","",IF(COUNTIF($B$2:$B$501,B776)&gt;1,"No."&amp;_xlfn.TEXTJOIN(", ",TRUE,IF(($B$2:$B$501=B776)*(ROW($B$2:$B$501)&lt;&gt;ROW(B776)),""&amp;$A$2:$A$501,"")),""))</f>
        <v/>
      </c>
      <c r="I776" s="29"/>
    </row>
    <row r="777" spans="1:9" x14ac:dyDescent="0.4">
      <c r="A777" s="29">
        <v>776</v>
      </c>
      <c r="B777" s="29"/>
      <c r="C777" s="29"/>
      <c r="D777" s="30"/>
      <c r="E777" s="29"/>
      <c r="F777" s="31"/>
      <c r="G777" s="29" t="str">
        <f>IF('단어 시험장'!E777="❌","❌","")</f>
        <v/>
      </c>
      <c r="H777" s="35" t="str" cm="1">
        <f t="array" ref="H777">IF(B777="","",IF(COUNTIF($B$2:$B$501,B777)&gt;1,"No."&amp;_xlfn.TEXTJOIN(", ",TRUE,IF(($B$2:$B$501=B777)*(ROW($B$2:$B$501)&lt;&gt;ROW(B777)),""&amp;$A$2:$A$501,"")),""))</f>
        <v/>
      </c>
      <c r="I777" s="29"/>
    </row>
    <row r="778" spans="1:9" x14ac:dyDescent="0.4">
      <c r="A778" s="29">
        <v>777</v>
      </c>
      <c r="B778" s="29"/>
      <c r="C778" s="29"/>
      <c r="D778" s="30"/>
      <c r="E778" s="29"/>
      <c r="F778" s="31"/>
      <c r="G778" s="29" t="str">
        <f>IF('단어 시험장'!E778="❌","❌","")</f>
        <v/>
      </c>
      <c r="H778" s="35" t="str" cm="1">
        <f t="array" ref="H778">IF(B778="","",IF(COUNTIF($B$2:$B$501,B778)&gt;1,"No."&amp;_xlfn.TEXTJOIN(", ",TRUE,IF(($B$2:$B$501=B778)*(ROW($B$2:$B$501)&lt;&gt;ROW(B778)),""&amp;$A$2:$A$501,"")),""))</f>
        <v/>
      </c>
      <c r="I778" s="29"/>
    </row>
    <row r="779" spans="1:9" x14ac:dyDescent="0.4">
      <c r="A779" s="29">
        <v>778</v>
      </c>
      <c r="B779" s="29"/>
      <c r="C779" s="29"/>
      <c r="D779" s="30"/>
      <c r="E779" s="29"/>
      <c r="F779" s="31"/>
      <c r="G779" s="29" t="str">
        <f>IF('단어 시험장'!E779="❌","❌","")</f>
        <v/>
      </c>
      <c r="H779" s="35" t="str" cm="1">
        <f t="array" ref="H779">IF(B779="","",IF(COUNTIF($B$2:$B$501,B779)&gt;1,"No."&amp;_xlfn.TEXTJOIN(", ",TRUE,IF(($B$2:$B$501=B779)*(ROW($B$2:$B$501)&lt;&gt;ROW(B779)),""&amp;$A$2:$A$501,"")),""))</f>
        <v/>
      </c>
      <c r="I779" s="29"/>
    </row>
    <row r="780" spans="1:9" x14ac:dyDescent="0.4">
      <c r="A780" s="29">
        <v>779</v>
      </c>
      <c r="B780" s="29"/>
      <c r="C780" s="29"/>
      <c r="D780" s="30"/>
      <c r="E780" s="29"/>
      <c r="F780" s="31"/>
      <c r="G780" s="29" t="str">
        <f>IF('단어 시험장'!E780="❌","❌","")</f>
        <v/>
      </c>
      <c r="H780" s="35" t="str" cm="1">
        <f t="array" ref="H780">IF(B780="","",IF(COUNTIF($B$2:$B$501,B780)&gt;1,"No."&amp;_xlfn.TEXTJOIN(", ",TRUE,IF(($B$2:$B$501=B780)*(ROW($B$2:$B$501)&lt;&gt;ROW(B780)),""&amp;$A$2:$A$501,"")),""))</f>
        <v/>
      </c>
      <c r="I780" s="29"/>
    </row>
    <row r="781" spans="1:9" x14ac:dyDescent="0.4">
      <c r="A781" s="29">
        <v>780</v>
      </c>
      <c r="B781" s="29"/>
      <c r="C781" s="29"/>
      <c r="D781" s="30"/>
      <c r="E781" s="29"/>
      <c r="F781" s="31"/>
      <c r="G781" s="29" t="str">
        <f>IF('단어 시험장'!E781="❌","❌","")</f>
        <v/>
      </c>
      <c r="H781" s="35" t="str" cm="1">
        <f t="array" ref="H781">IF(B781="","",IF(COUNTIF($B$2:$B$501,B781)&gt;1,"No."&amp;_xlfn.TEXTJOIN(", ",TRUE,IF(($B$2:$B$501=B781)*(ROW($B$2:$B$501)&lt;&gt;ROW(B781)),""&amp;$A$2:$A$501,"")),""))</f>
        <v/>
      </c>
      <c r="I781" s="29"/>
    </row>
    <row r="782" spans="1:9" x14ac:dyDescent="0.4">
      <c r="A782" s="29">
        <v>781</v>
      </c>
      <c r="B782" s="29"/>
      <c r="C782" s="29"/>
      <c r="D782" s="30"/>
      <c r="E782" s="29"/>
      <c r="F782" s="31"/>
      <c r="G782" s="29" t="str">
        <f>IF('단어 시험장'!E782="❌","❌","")</f>
        <v/>
      </c>
      <c r="H782" s="35" t="str" cm="1">
        <f t="array" ref="H782">IF(B782="","",IF(COUNTIF($B$2:$B$501,B782)&gt;1,"No."&amp;_xlfn.TEXTJOIN(", ",TRUE,IF(($B$2:$B$501=B782)*(ROW($B$2:$B$501)&lt;&gt;ROW(B782)),""&amp;$A$2:$A$501,"")),""))</f>
        <v/>
      </c>
      <c r="I782" s="29"/>
    </row>
    <row r="783" spans="1:9" x14ac:dyDescent="0.4">
      <c r="A783" s="29">
        <v>782</v>
      </c>
      <c r="B783" s="29"/>
      <c r="C783" s="29"/>
      <c r="D783" s="30"/>
      <c r="E783" s="29"/>
      <c r="F783" s="31"/>
      <c r="G783" s="29" t="str">
        <f>IF('단어 시험장'!E783="❌","❌","")</f>
        <v/>
      </c>
      <c r="H783" s="35" t="str" cm="1">
        <f t="array" ref="H783">IF(B783="","",IF(COUNTIF($B$2:$B$501,B783)&gt;1,"No."&amp;_xlfn.TEXTJOIN(", ",TRUE,IF(($B$2:$B$501=B783)*(ROW($B$2:$B$501)&lt;&gt;ROW(B783)),""&amp;$A$2:$A$501,"")),""))</f>
        <v/>
      </c>
      <c r="I783" s="29"/>
    </row>
    <row r="784" spans="1:9" x14ac:dyDescent="0.4">
      <c r="A784" s="29">
        <v>783</v>
      </c>
      <c r="B784" s="29"/>
      <c r="C784" s="29"/>
      <c r="D784" s="30"/>
      <c r="E784" s="29"/>
      <c r="F784" s="31"/>
      <c r="G784" s="29" t="str">
        <f>IF('단어 시험장'!E784="❌","❌","")</f>
        <v/>
      </c>
      <c r="H784" s="35" t="str" cm="1">
        <f t="array" ref="H784">IF(B784="","",IF(COUNTIF($B$2:$B$501,B784)&gt;1,"No."&amp;_xlfn.TEXTJOIN(", ",TRUE,IF(($B$2:$B$501=B784)*(ROW($B$2:$B$501)&lt;&gt;ROW(B784)),""&amp;$A$2:$A$501,"")),""))</f>
        <v/>
      </c>
      <c r="I784" s="29"/>
    </row>
    <row r="785" spans="1:9" x14ac:dyDescent="0.4">
      <c r="A785" s="29">
        <v>784</v>
      </c>
      <c r="B785" s="29"/>
      <c r="C785" s="29"/>
      <c r="D785" s="30"/>
      <c r="E785" s="29"/>
      <c r="F785" s="31"/>
      <c r="G785" s="29" t="str">
        <f>IF('단어 시험장'!E785="❌","❌","")</f>
        <v/>
      </c>
      <c r="H785" s="35" t="str" cm="1">
        <f t="array" ref="H785">IF(B785="","",IF(COUNTIF($B$2:$B$501,B785)&gt;1,"No."&amp;_xlfn.TEXTJOIN(", ",TRUE,IF(($B$2:$B$501=B785)*(ROW($B$2:$B$501)&lt;&gt;ROW(B785)),""&amp;$A$2:$A$501,"")),""))</f>
        <v/>
      </c>
      <c r="I785" s="29"/>
    </row>
    <row r="786" spans="1:9" x14ac:dyDescent="0.4">
      <c r="A786" s="29">
        <v>785</v>
      </c>
      <c r="B786" s="29"/>
      <c r="C786" s="29"/>
      <c r="D786" s="30"/>
      <c r="E786" s="29"/>
      <c r="F786" s="31"/>
      <c r="G786" s="29" t="str">
        <f>IF('단어 시험장'!E786="❌","❌","")</f>
        <v/>
      </c>
      <c r="H786" s="35" t="str" cm="1">
        <f t="array" ref="H786">IF(B786="","",IF(COUNTIF($B$2:$B$501,B786)&gt;1,"No."&amp;_xlfn.TEXTJOIN(", ",TRUE,IF(($B$2:$B$501=B786)*(ROW($B$2:$B$501)&lt;&gt;ROW(B786)),""&amp;$A$2:$A$501,"")),""))</f>
        <v/>
      </c>
      <c r="I786" s="29"/>
    </row>
    <row r="787" spans="1:9" x14ac:dyDescent="0.4">
      <c r="A787" s="29">
        <v>786</v>
      </c>
      <c r="B787" s="29"/>
      <c r="C787" s="29"/>
      <c r="D787" s="30"/>
      <c r="E787" s="29"/>
      <c r="F787" s="31"/>
      <c r="G787" s="29" t="str">
        <f>IF('단어 시험장'!E787="❌","❌","")</f>
        <v/>
      </c>
      <c r="H787" s="35" t="str" cm="1">
        <f t="array" ref="H787">IF(B787="","",IF(COUNTIF($B$2:$B$501,B787)&gt;1,"No."&amp;_xlfn.TEXTJOIN(", ",TRUE,IF(($B$2:$B$501=B787)*(ROW($B$2:$B$501)&lt;&gt;ROW(B787)),""&amp;$A$2:$A$501,"")),""))</f>
        <v/>
      </c>
      <c r="I787" s="29"/>
    </row>
    <row r="788" spans="1:9" x14ac:dyDescent="0.4">
      <c r="A788" s="29">
        <v>787</v>
      </c>
      <c r="B788" s="29"/>
      <c r="C788" s="29"/>
      <c r="D788" s="30"/>
      <c r="E788" s="29"/>
      <c r="F788" s="31"/>
      <c r="G788" s="29" t="str">
        <f>IF('단어 시험장'!E788="❌","❌","")</f>
        <v/>
      </c>
      <c r="H788" s="35" t="str" cm="1">
        <f t="array" ref="H788">IF(B788="","",IF(COUNTIF($B$2:$B$501,B788)&gt;1,"No."&amp;_xlfn.TEXTJOIN(", ",TRUE,IF(($B$2:$B$501=B788)*(ROW($B$2:$B$501)&lt;&gt;ROW(B788)),""&amp;$A$2:$A$501,"")),""))</f>
        <v/>
      </c>
      <c r="I788" s="29"/>
    </row>
    <row r="789" spans="1:9" x14ac:dyDescent="0.4">
      <c r="A789" s="29">
        <v>788</v>
      </c>
      <c r="B789" s="29"/>
      <c r="C789" s="29"/>
      <c r="D789" s="30"/>
      <c r="E789" s="29"/>
      <c r="F789" s="31"/>
      <c r="G789" s="29" t="str">
        <f>IF('단어 시험장'!E789="❌","❌","")</f>
        <v/>
      </c>
      <c r="H789" s="35" t="str" cm="1">
        <f t="array" ref="H789">IF(B789="","",IF(COUNTIF($B$2:$B$501,B789)&gt;1,"No."&amp;_xlfn.TEXTJOIN(", ",TRUE,IF(($B$2:$B$501=B789)*(ROW($B$2:$B$501)&lt;&gt;ROW(B789)),""&amp;$A$2:$A$501,"")),""))</f>
        <v/>
      </c>
      <c r="I789" s="29"/>
    </row>
    <row r="790" spans="1:9" x14ac:dyDescent="0.4">
      <c r="A790" s="29">
        <v>789</v>
      </c>
      <c r="B790" s="29"/>
      <c r="C790" s="29"/>
      <c r="D790" s="30"/>
      <c r="E790" s="29"/>
      <c r="F790" s="31"/>
      <c r="G790" s="29" t="str">
        <f>IF('단어 시험장'!E790="❌","❌","")</f>
        <v/>
      </c>
      <c r="H790" s="35" t="str" cm="1">
        <f t="array" ref="H790">IF(B790="","",IF(COUNTIF($B$2:$B$501,B790)&gt;1,"No."&amp;_xlfn.TEXTJOIN(", ",TRUE,IF(($B$2:$B$501=B790)*(ROW($B$2:$B$501)&lt;&gt;ROW(B790)),""&amp;$A$2:$A$501,"")),""))</f>
        <v/>
      </c>
      <c r="I790" s="29"/>
    </row>
    <row r="791" spans="1:9" x14ac:dyDescent="0.4">
      <c r="A791" s="29">
        <v>790</v>
      </c>
      <c r="B791" s="29"/>
      <c r="C791" s="29"/>
      <c r="D791" s="30"/>
      <c r="E791" s="29"/>
      <c r="F791" s="31"/>
      <c r="G791" s="29" t="str">
        <f>IF('단어 시험장'!E791="❌","❌","")</f>
        <v/>
      </c>
      <c r="H791" s="35" t="str" cm="1">
        <f t="array" ref="H791">IF(B791="","",IF(COUNTIF($B$2:$B$501,B791)&gt;1,"No."&amp;_xlfn.TEXTJOIN(", ",TRUE,IF(($B$2:$B$501=B791)*(ROW($B$2:$B$501)&lt;&gt;ROW(B791)),""&amp;$A$2:$A$501,"")),""))</f>
        <v/>
      </c>
      <c r="I791" s="29"/>
    </row>
    <row r="792" spans="1:9" x14ac:dyDescent="0.4">
      <c r="A792" s="29">
        <v>791</v>
      </c>
      <c r="B792" s="29"/>
      <c r="C792" s="29"/>
      <c r="D792" s="30"/>
      <c r="E792" s="29"/>
      <c r="F792" s="31"/>
      <c r="G792" s="29" t="str">
        <f>IF('단어 시험장'!E792="❌","❌","")</f>
        <v/>
      </c>
      <c r="H792" s="35" t="str" cm="1">
        <f t="array" ref="H792">IF(B792="","",IF(COUNTIF($B$2:$B$501,B792)&gt;1,"No."&amp;_xlfn.TEXTJOIN(", ",TRUE,IF(($B$2:$B$501=B792)*(ROW($B$2:$B$501)&lt;&gt;ROW(B792)),""&amp;$A$2:$A$501,"")),""))</f>
        <v/>
      </c>
      <c r="I792" s="29"/>
    </row>
    <row r="793" spans="1:9" x14ac:dyDescent="0.4">
      <c r="A793" s="29">
        <v>792</v>
      </c>
      <c r="B793" s="29"/>
      <c r="C793" s="29"/>
      <c r="D793" s="30"/>
      <c r="E793" s="29"/>
      <c r="F793" s="31"/>
      <c r="G793" s="29" t="str">
        <f>IF('단어 시험장'!E793="❌","❌","")</f>
        <v/>
      </c>
      <c r="H793" s="35" t="str" cm="1">
        <f t="array" ref="H793">IF(B793="","",IF(COUNTIF($B$2:$B$501,B793)&gt;1,"No."&amp;_xlfn.TEXTJOIN(", ",TRUE,IF(($B$2:$B$501=B793)*(ROW($B$2:$B$501)&lt;&gt;ROW(B793)),""&amp;$A$2:$A$501,"")),""))</f>
        <v/>
      </c>
      <c r="I793" s="29"/>
    </row>
    <row r="794" spans="1:9" x14ac:dyDescent="0.4">
      <c r="A794" s="29">
        <v>793</v>
      </c>
      <c r="B794" s="29"/>
      <c r="C794" s="29"/>
      <c r="D794" s="30"/>
      <c r="E794" s="29"/>
      <c r="F794" s="31"/>
      <c r="G794" s="29" t="str">
        <f>IF('단어 시험장'!E794="❌","❌","")</f>
        <v/>
      </c>
      <c r="H794" s="35" t="str" cm="1">
        <f t="array" ref="H794">IF(B794="","",IF(COUNTIF($B$2:$B$501,B794)&gt;1,"No."&amp;_xlfn.TEXTJOIN(", ",TRUE,IF(($B$2:$B$501=B794)*(ROW($B$2:$B$501)&lt;&gt;ROW(B794)),""&amp;$A$2:$A$501,"")),""))</f>
        <v/>
      </c>
      <c r="I794" s="29"/>
    </row>
    <row r="795" spans="1:9" x14ac:dyDescent="0.4">
      <c r="A795" s="29">
        <v>794</v>
      </c>
      <c r="B795" s="29"/>
      <c r="C795" s="29"/>
      <c r="D795" s="30"/>
      <c r="E795" s="29"/>
      <c r="F795" s="31"/>
      <c r="G795" s="29" t="str">
        <f>IF('단어 시험장'!E795="❌","❌","")</f>
        <v/>
      </c>
      <c r="H795" s="35" t="str" cm="1">
        <f t="array" ref="H795">IF(B795="","",IF(COUNTIF($B$2:$B$501,B795)&gt;1,"No."&amp;_xlfn.TEXTJOIN(", ",TRUE,IF(($B$2:$B$501=B795)*(ROW($B$2:$B$501)&lt;&gt;ROW(B795)),""&amp;$A$2:$A$501,"")),""))</f>
        <v/>
      </c>
      <c r="I795" s="29"/>
    </row>
    <row r="796" spans="1:9" x14ac:dyDescent="0.4">
      <c r="A796" s="29">
        <v>795</v>
      </c>
      <c r="B796" s="29"/>
      <c r="C796" s="29"/>
      <c r="D796" s="30"/>
      <c r="E796" s="29"/>
      <c r="F796" s="31"/>
      <c r="G796" s="29" t="str">
        <f>IF('단어 시험장'!E796="❌","❌","")</f>
        <v/>
      </c>
      <c r="H796" s="35" t="str" cm="1">
        <f t="array" ref="H796">IF(B796="","",IF(COUNTIF($B$2:$B$501,B796)&gt;1,"No."&amp;_xlfn.TEXTJOIN(", ",TRUE,IF(($B$2:$B$501=B796)*(ROW($B$2:$B$501)&lt;&gt;ROW(B796)),""&amp;$A$2:$A$501,"")),""))</f>
        <v/>
      </c>
      <c r="I796" s="29"/>
    </row>
    <row r="797" spans="1:9" x14ac:dyDescent="0.4">
      <c r="A797" s="29">
        <v>796</v>
      </c>
      <c r="B797" s="29"/>
      <c r="C797" s="29"/>
      <c r="D797" s="30"/>
      <c r="E797" s="29"/>
      <c r="F797" s="31"/>
      <c r="G797" s="29" t="str">
        <f>IF('단어 시험장'!E797="❌","❌","")</f>
        <v/>
      </c>
      <c r="H797" s="35" t="str" cm="1">
        <f t="array" ref="H797">IF(B797="","",IF(COUNTIF($B$2:$B$501,B797)&gt;1,"No."&amp;_xlfn.TEXTJOIN(", ",TRUE,IF(($B$2:$B$501=B797)*(ROW($B$2:$B$501)&lt;&gt;ROW(B797)),""&amp;$A$2:$A$501,"")),""))</f>
        <v/>
      </c>
      <c r="I797" s="29"/>
    </row>
    <row r="798" spans="1:9" x14ac:dyDescent="0.4">
      <c r="A798" s="29">
        <v>797</v>
      </c>
      <c r="B798" s="29"/>
      <c r="C798" s="29"/>
      <c r="D798" s="30"/>
      <c r="E798" s="29"/>
      <c r="F798" s="31"/>
      <c r="G798" s="29" t="str">
        <f>IF('단어 시험장'!E798="❌","❌","")</f>
        <v/>
      </c>
      <c r="H798" s="35" t="str" cm="1">
        <f t="array" ref="H798">IF(B798="","",IF(COUNTIF($B$2:$B$501,B798)&gt;1,"No."&amp;_xlfn.TEXTJOIN(", ",TRUE,IF(($B$2:$B$501=B798)*(ROW($B$2:$B$501)&lt;&gt;ROW(B798)),""&amp;$A$2:$A$501,"")),""))</f>
        <v/>
      </c>
      <c r="I798" s="29"/>
    </row>
    <row r="799" spans="1:9" x14ac:dyDescent="0.4">
      <c r="A799" s="29">
        <v>798</v>
      </c>
      <c r="B799" s="29"/>
      <c r="C799" s="29"/>
      <c r="D799" s="30"/>
      <c r="E799" s="29"/>
      <c r="F799" s="31"/>
      <c r="G799" s="29" t="str">
        <f>IF('단어 시험장'!E799="❌","❌","")</f>
        <v/>
      </c>
      <c r="H799" s="35" t="str" cm="1">
        <f t="array" ref="H799">IF(B799="","",IF(COUNTIF($B$2:$B$501,B799)&gt;1,"No."&amp;_xlfn.TEXTJOIN(", ",TRUE,IF(($B$2:$B$501=B799)*(ROW($B$2:$B$501)&lt;&gt;ROW(B799)),""&amp;$A$2:$A$501,"")),""))</f>
        <v/>
      </c>
      <c r="I799" s="29"/>
    </row>
    <row r="800" spans="1:9" x14ac:dyDescent="0.4">
      <c r="A800" s="29">
        <v>799</v>
      </c>
      <c r="B800" s="29"/>
      <c r="C800" s="29"/>
      <c r="D800" s="30"/>
      <c r="E800" s="29"/>
      <c r="F800" s="31"/>
      <c r="G800" s="29" t="str">
        <f>IF('단어 시험장'!E800="❌","❌","")</f>
        <v/>
      </c>
      <c r="H800" s="35" t="str" cm="1">
        <f t="array" ref="H800">IF(B800="","",IF(COUNTIF($B$2:$B$501,B800)&gt;1,"No."&amp;_xlfn.TEXTJOIN(", ",TRUE,IF(($B$2:$B$501=B800)*(ROW($B$2:$B$501)&lt;&gt;ROW(B800)),""&amp;$A$2:$A$501,"")),""))</f>
        <v/>
      </c>
      <c r="I800" s="29"/>
    </row>
    <row r="801" spans="1:9" x14ac:dyDescent="0.4">
      <c r="A801" s="29">
        <v>800</v>
      </c>
      <c r="B801" s="29"/>
      <c r="C801" s="29"/>
      <c r="D801" s="30"/>
      <c r="E801" s="29"/>
      <c r="F801" s="31"/>
      <c r="G801" s="29" t="str">
        <f>IF('단어 시험장'!E801="❌","❌","")</f>
        <v/>
      </c>
      <c r="H801" s="35" t="str" cm="1">
        <f t="array" ref="H801">IF(B801="","",IF(COUNTIF($B$2:$B$501,B801)&gt;1,"No."&amp;_xlfn.TEXTJOIN(", ",TRUE,IF(($B$2:$B$501=B801)*(ROW($B$2:$B$501)&lt;&gt;ROW(B801)),""&amp;$A$2:$A$501,"")),""))</f>
        <v/>
      </c>
      <c r="I801" s="29"/>
    </row>
    <row r="802" spans="1:9" x14ac:dyDescent="0.4">
      <c r="A802" s="29">
        <v>801</v>
      </c>
      <c r="B802" s="29"/>
      <c r="C802" s="29"/>
      <c r="D802" s="30"/>
      <c r="E802" s="29"/>
      <c r="F802" s="31"/>
      <c r="G802" s="29" t="str">
        <f>IF('단어 시험장'!E802="❌","❌","")</f>
        <v/>
      </c>
      <c r="H802" s="35" t="str" cm="1">
        <f t="array" ref="H802">IF(B802="","",IF(COUNTIF($B$2:$B$501,B802)&gt;1,"No."&amp;_xlfn.TEXTJOIN(", ",TRUE,IF(($B$2:$B$501=B802)*(ROW($B$2:$B$501)&lt;&gt;ROW(B802)),""&amp;$A$2:$A$501,"")),""))</f>
        <v/>
      </c>
      <c r="I802" s="29"/>
    </row>
    <row r="803" spans="1:9" x14ac:dyDescent="0.4">
      <c r="A803" s="29">
        <v>802</v>
      </c>
      <c r="B803" s="29"/>
      <c r="C803" s="29"/>
      <c r="D803" s="30"/>
      <c r="E803" s="29"/>
      <c r="F803" s="31"/>
      <c r="G803" s="29" t="str">
        <f>IF('단어 시험장'!E803="❌","❌","")</f>
        <v/>
      </c>
      <c r="H803" s="35" t="str" cm="1">
        <f t="array" ref="H803">IF(B803="","",IF(COUNTIF($B$2:$B$501,B803)&gt;1,"No."&amp;_xlfn.TEXTJOIN(", ",TRUE,IF(($B$2:$B$501=B803)*(ROW($B$2:$B$501)&lt;&gt;ROW(B803)),""&amp;$A$2:$A$501,"")),""))</f>
        <v/>
      </c>
      <c r="I803" s="29"/>
    </row>
    <row r="804" spans="1:9" x14ac:dyDescent="0.4">
      <c r="A804" s="29">
        <v>803</v>
      </c>
      <c r="B804" s="29"/>
      <c r="C804" s="29"/>
      <c r="D804" s="30"/>
      <c r="E804" s="29"/>
      <c r="F804" s="31"/>
      <c r="G804" s="29" t="str">
        <f>IF('단어 시험장'!E804="❌","❌","")</f>
        <v/>
      </c>
      <c r="H804" s="35" t="str" cm="1">
        <f t="array" ref="H804">IF(B804="","",IF(COUNTIF($B$2:$B$501,B804)&gt;1,"No."&amp;_xlfn.TEXTJOIN(", ",TRUE,IF(($B$2:$B$501=B804)*(ROW($B$2:$B$501)&lt;&gt;ROW(B804)),""&amp;$A$2:$A$501,"")),""))</f>
        <v/>
      </c>
      <c r="I804" s="29"/>
    </row>
    <row r="805" spans="1:9" x14ac:dyDescent="0.4">
      <c r="A805" s="29">
        <v>804</v>
      </c>
      <c r="B805" s="29"/>
      <c r="C805" s="29"/>
      <c r="D805" s="30"/>
      <c r="E805" s="29"/>
      <c r="F805" s="31"/>
      <c r="G805" s="29" t="str">
        <f>IF('단어 시험장'!E805="❌","❌","")</f>
        <v/>
      </c>
      <c r="H805" s="35" t="str" cm="1">
        <f t="array" ref="H805">IF(B805="","",IF(COUNTIF($B$2:$B$501,B805)&gt;1,"No."&amp;_xlfn.TEXTJOIN(", ",TRUE,IF(($B$2:$B$501=B805)*(ROW($B$2:$B$501)&lt;&gt;ROW(B805)),""&amp;$A$2:$A$501,"")),""))</f>
        <v/>
      </c>
      <c r="I805" s="29"/>
    </row>
    <row r="806" spans="1:9" x14ac:dyDescent="0.4">
      <c r="A806" s="29">
        <v>805</v>
      </c>
      <c r="B806" s="29"/>
      <c r="C806" s="29"/>
      <c r="D806" s="30"/>
      <c r="E806" s="29"/>
      <c r="F806" s="31"/>
      <c r="G806" s="29" t="str">
        <f>IF('단어 시험장'!E806="❌","❌","")</f>
        <v/>
      </c>
      <c r="H806" s="35" t="str" cm="1">
        <f t="array" ref="H806">IF(B806="","",IF(COUNTIF($B$2:$B$501,B806)&gt;1,"No."&amp;_xlfn.TEXTJOIN(", ",TRUE,IF(($B$2:$B$501=B806)*(ROW($B$2:$B$501)&lt;&gt;ROW(B806)),""&amp;$A$2:$A$501,"")),""))</f>
        <v/>
      </c>
      <c r="I806" s="29"/>
    </row>
    <row r="807" spans="1:9" x14ac:dyDescent="0.4">
      <c r="A807" s="29">
        <v>806</v>
      </c>
      <c r="B807" s="29"/>
      <c r="C807" s="29"/>
      <c r="D807" s="30"/>
      <c r="E807" s="29"/>
      <c r="F807" s="31"/>
      <c r="G807" s="29" t="str">
        <f>IF('단어 시험장'!E807="❌","❌","")</f>
        <v/>
      </c>
      <c r="H807" s="35" t="str" cm="1">
        <f t="array" ref="H807">IF(B807="","",IF(COUNTIF($B$2:$B$501,B807)&gt;1,"No."&amp;_xlfn.TEXTJOIN(", ",TRUE,IF(($B$2:$B$501=B807)*(ROW($B$2:$B$501)&lt;&gt;ROW(B807)),""&amp;$A$2:$A$501,"")),""))</f>
        <v/>
      </c>
      <c r="I807" s="29"/>
    </row>
    <row r="808" spans="1:9" x14ac:dyDescent="0.4">
      <c r="A808" s="29">
        <v>807</v>
      </c>
      <c r="B808" s="29"/>
      <c r="C808" s="29"/>
      <c r="D808" s="30"/>
      <c r="E808" s="29"/>
      <c r="F808" s="31"/>
      <c r="G808" s="29" t="str">
        <f>IF('단어 시험장'!E808="❌","❌","")</f>
        <v/>
      </c>
      <c r="H808" s="35" t="str" cm="1">
        <f t="array" ref="H808">IF(B808="","",IF(COUNTIF($B$2:$B$501,B808)&gt;1,"No."&amp;_xlfn.TEXTJOIN(", ",TRUE,IF(($B$2:$B$501=B808)*(ROW($B$2:$B$501)&lt;&gt;ROW(B808)),""&amp;$A$2:$A$501,"")),""))</f>
        <v/>
      </c>
      <c r="I808" s="29"/>
    </row>
    <row r="809" spans="1:9" x14ac:dyDescent="0.4">
      <c r="A809" s="29">
        <v>808</v>
      </c>
      <c r="B809" s="29"/>
      <c r="C809" s="29"/>
      <c r="D809" s="30"/>
      <c r="E809" s="29"/>
      <c r="F809" s="31"/>
      <c r="G809" s="29" t="str">
        <f>IF('단어 시험장'!E809="❌","❌","")</f>
        <v/>
      </c>
      <c r="H809" s="35" t="str" cm="1">
        <f t="array" ref="H809">IF(B809="","",IF(COUNTIF($B$2:$B$501,B809)&gt;1,"No."&amp;_xlfn.TEXTJOIN(", ",TRUE,IF(($B$2:$B$501=B809)*(ROW($B$2:$B$501)&lt;&gt;ROW(B809)),""&amp;$A$2:$A$501,"")),""))</f>
        <v/>
      </c>
      <c r="I809" s="29"/>
    </row>
    <row r="810" spans="1:9" x14ac:dyDescent="0.4">
      <c r="A810" s="29">
        <v>809</v>
      </c>
      <c r="B810" s="29"/>
      <c r="C810" s="29"/>
      <c r="D810" s="30"/>
      <c r="E810" s="29"/>
      <c r="F810" s="31"/>
      <c r="G810" s="29" t="str">
        <f>IF('단어 시험장'!E810="❌","❌","")</f>
        <v/>
      </c>
      <c r="H810" s="35" t="str" cm="1">
        <f t="array" ref="H810">IF(B810="","",IF(COUNTIF($B$2:$B$501,B810)&gt;1,"No."&amp;_xlfn.TEXTJOIN(", ",TRUE,IF(($B$2:$B$501=B810)*(ROW($B$2:$B$501)&lt;&gt;ROW(B810)),""&amp;$A$2:$A$501,"")),""))</f>
        <v/>
      </c>
      <c r="I810" s="29"/>
    </row>
    <row r="811" spans="1:9" x14ac:dyDescent="0.4">
      <c r="A811" s="29">
        <v>810</v>
      </c>
      <c r="B811" s="29"/>
      <c r="C811" s="29"/>
      <c r="D811" s="30"/>
      <c r="E811" s="29"/>
      <c r="F811" s="31"/>
      <c r="G811" s="29" t="str">
        <f>IF('단어 시험장'!E811="❌","❌","")</f>
        <v/>
      </c>
      <c r="H811" s="35" t="str" cm="1">
        <f t="array" ref="H811">IF(B811="","",IF(COUNTIF($B$2:$B$501,B811)&gt;1,"No."&amp;_xlfn.TEXTJOIN(", ",TRUE,IF(($B$2:$B$501=B811)*(ROW($B$2:$B$501)&lt;&gt;ROW(B811)),""&amp;$A$2:$A$501,"")),""))</f>
        <v/>
      </c>
      <c r="I811" s="29"/>
    </row>
    <row r="812" spans="1:9" x14ac:dyDescent="0.4">
      <c r="A812" s="29">
        <v>811</v>
      </c>
      <c r="B812" s="29"/>
      <c r="C812" s="29"/>
      <c r="D812" s="30"/>
      <c r="E812" s="29"/>
      <c r="F812" s="31"/>
      <c r="G812" s="29" t="str">
        <f>IF('단어 시험장'!E812="❌","❌","")</f>
        <v/>
      </c>
      <c r="H812" s="35" t="str" cm="1">
        <f t="array" ref="H812">IF(B812="","",IF(COUNTIF($B$2:$B$501,B812)&gt;1,"No."&amp;_xlfn.TEXTJOIN(", ",TRUE,IF(($B$2:$B$501=B812)*(ROW($B$2:$B$501)&lt;&gt;ROW(B812)),""&amp;$A$2:$A$501,"")),""))</f>
        <v/>
      </c>
      <c r="I812" s="29"/>
    </row>
    <row r="813" spans="1:9" x14ac:dyDescent="0.4">
      <c r="A813" s="29">
        <v>812</v>
      </c>
      <c r="B813" s="29"/>
      <c r="C813" s="29"/>
      <c r="D813" s="30"/>
      <c r="E813" s="29"/>
      <c r="F813" s="31"/>
      <c r="G813" s="29" t="str">
        <f>IF('단어 시험장'!E813="❌","❌","")</f>
        <v/>
      </c>
      <c r="H813" s="35" t="str" cm="1">
        <f t="array" ref="H813">IF(B813="","",IF(COUNTIF($B$2:$B$501,B813)&gt;1,"No."&amp;_xlfn.TEXTJOIN(", ",TRUE,IF(($B$2:$B$501=B813)*(ROW($B$2:$B$501)&lt;&gt;ROW(B813)),""&amp;$A$2:$A$501,"")),""))</f>
        <v/>
      </c>
      <c r="I813" s="29"/>
    </row>
    <row r="814" spans="1:9" x14ac:dyDescent="0.4">
      <c r="A814" s="29">
        <v>813</v>
      </c>
      <c r="B814" s="29"/>
      <c r="C814" s="29"/>
      <c r="D814" s="30"/>
      <c r="E814" s="29"/>
      <c r="F814" s="31"/>
      <c r="G814" s="29" t="str">
        <f>IF('단어 시험장'!E814="❌","❌","")</f>
        <v/>
      </c>
      <c r="H814" s="35" t="str" cm="1">
        <f t="array" ref="H814">IF(B814="","",IF(COUNTIF($B$2:$B$501,B814)&gt;1,"No."&amp;_xlfn.TEXTJOIN(", ",TRUE,IF(($B$2:$B$501=B814)*(ROW($B$2:$B$501)&lt;&gt;ROW(B814)),""&amp;$A$2:$A$501,"")),""))</f>
        <v/>
      </c>
      <c r="I814" s="29"/>
    </row>
    <row r="815" spans="1:9" x14ac:dyDescent="0.4">
      <c r="A815" s="29">
        <v>814</v>
      </c>
      <c r="B815" s="29"/>
      <c r="C815" s="29"/>
      <c r="D815" s="30"/>
      <c r="E815" s="29"/>
      <c r="F815" s="31"/>
      <c r="G815" s="29" t="str">
        <f>IF('단어 시험장'!E815="❌","❌","")</f>
        <v/>
      </c>
      <c r="H815" s="35" t="str" cm="1">
        <f t="array" ref="H815">IF(B815="","",IF(COUNTIF($B$2:$B$501,B815)&gt;1,"No."&amp;_xlfn.TEXTJOIN(", ",TRUE,IF(($B$2:$B$501=B815)*(ROW($B$2:$B$501)&lt;&gt;ROW(B815)),""&amp;$A$2:$A$501,"")),""))</f>
        <v/>
      </c>
      <c r="I815" s="29"/>
    </row>
    <row r="816" spans="1:9" x14ac:dyDescent="0.4">
      <c r="A816" s="29">
        <v>815</v>
      </c>
      <c r="B816" s="29"/>
      <c r="C816" s="29"/>
      <c r="D816" s="30"/>
      <c r="E816" s="29"/>
      <c r="F816" s="31"/>
      <c r="G816" s="29" t="str">
        <f>IF('단어 시험장'!E816="❌","❌","")</f>
        <v/>
      </c>
      <c r="H816" s="35" t="str" cm="1">
        <f t="array" ref="H816">IF(B816="","",IF(COUNTIF($B$2:$B$501,B816)&gt;1,"No."&amp;_xlfn.TEXTJOIN(", ",TRUE,IF(($B$2:$B$501=B816)*(ROW($B$2:$B$501)&lt;&gt;ROW(B816)),""&amp;$A$2:$A$501,"")),""))</f>
        <v/>
      </c>
      <c r="I816" s="29"/>
    </row>
    <row r="817" spans="1:9" x14ac:dyDescent="0.4">
      <c r="A817" s="29">
        <v>816</v>
      </c>
      <c r="B817" s="29"/>
      <c r="C817" s="29"/>
      <c r="D817" s="30"/>
      <c r="E817" s="29"/>
      <c r="F817" s="31"/>
      <c r="G817" s="29" t="str">
        <f>IF('단어 시험장'!E817="❌","❌","")</f>
        <v/>
      </c>
      <c r="H817" s="35" t="str" cm="1">
        <f t="array" ref="H817">IF(B817="","",IF(COUNTIF($B$2:$B$501,B817)&gt;1,"No."&amp;_xlfn.TEXTJOIN(", ",TRUE,IF(($B$2:$B$501=B817)*(ROW($B$2:$B$501)&lt;&gt;ROW(B817)),""&amp;$A$2:$A$501,"")),""))</f>
        <v/>
      </c>
      <c r="I817" s="29"/>
    </row>
    <row r="818" spans="1:9" x14ac:dyDescent="0.4">
      <c r="A818" s="29">
        <v>817</v>
      </c>
      <c r="B818" s="29"/>
      <c r="C818" s="29"/>
      <c r="D818" s="30"/>
      <c r="E818" s="29"/>
      <c r="F818" s="31"/>
      <c r="G818" s="29" t="str">
        <f>IF('단어 시험장'!E818="❌","❌","")</f>
        <v/>
      </c>
      <c r="H818" s="35" t="str" cm="1">
        <f t="array" ref="H818">IF(B818="","",IF(COUNTIF($B$2:$B$501,B818)&gt;1,"No."&amp;_xlfn.TEXTJOIN(", ",TRUE,IF(($B$2:$B$501=B818)*(ROW($B$2:$B$501)&lt;&gt;ROW(B818)),""&amp;$A$2:$A$501,"")),""))</f>
        <v/>
      </c>
      <c r="I818" s="29"/>
    </row>
    <row r="819" spans="1:9" x14ac:dyDescent="0.4">
      <c r="A819" s="29">
        <v>818</v>
      </c>
      <c r="B819" s="29"/>
      <c r="C819" s="29"/>
      <c r="D819" s="30"/>
      <c r="E819" s="29"/>
      <c r="F819" s="31"/>
      <c r="G819" s="29" t="str">
        <f>IF('단어 시험장'!E819="❌","❌","")</f>
        <v/>
      </c>
      <c r="H819" s="35" t="str" cm="1">
        <f t="array" ref="H819">IF(B819="","",IF(COUNTIF($B$2:$B$501,B819)&gt;1,"No."&amp;_xlfn.TEXTJOIN(", ",TRUE,IF(($B$2:$B$501=B819)*(ROW($B$2:$B$501)&lt;&gt;ROW(B819)),""&amp;$A$2:$A$501,"")),""))</f>
        <v/>
      </c>
      <c r="I819" s="29"/>
    </row>
    <row r="820" spans="1:9" x14ac:dyDescent="0.4">
      <c r="A820" s="29">
        <v>819</v>
      </c>
      <c r="B820" s="29"/>
      <c r="C820" s="29"/>
      <c r="D820" s="30"/>
      <c r="E820" s="29"/>
      <c r="F820" s="31"/>
      <c r="G820" s="29" t="str">
        <f>IF('단어 시험장'!E820="❌","❌","")</f>
        <v/>
      </c>
      <c r="H820" s="35" t="str" cm="1">
        <f t="array" ref="H820">IF(B820="","",IF(COUNTIF($B$2:$B$501,B820)&gt;1,"No."&amp;_xlfn.TEXTJOIN(", ",TRUE,IF(($B$2:$B$501=B820)*(ROW($B$2:$B$501)&lt;&gt;ROW(B820)),""&amp;$A$2:$A$501,"")),""))</f>
        <v/>
      </c>
      <c r="I820" s="29"/>
    </row>
    <row r="821" spans="1:9" x14ac:dyDescent="0.4">
      <c r="A821" s="29">
        <v>820</v>
      </c>
      <c r="B821" s="29"/>
      <c r="C821" s="29"/>
      <c r="D821" s="30"/>
      <c r="E821" s="29"/>
      <c r="F821" s="31"/>
      <c r="G821" s="29" t="str">
        <f>IF('단어 시험장'!E821="❌","❌","")</f>
        <v/>
      </c>
      <c r="H821" s="35" t="str" cm="1">
        <f t="array" ref="H821">IF(B821="","",IF(COUNTIF($B$2:$B$501,B821)&gt;1,"No."&amp;_xlfn.TEXTJOIN(", ",TRUE,IF(($B$2:$B$501=B821)*(ROW($B$2:$B$501)&lt;&gt;ROW(B821)),""&amp;$A$2:$A$501,"")),""))</f>
        <v/>
      </c>
      <c r="I821" s="29"/>
    </row>
    <row r="822" spans="1:9" x14ac:dyDescent="0.4">
      <c r="A822" s="29">
        <v>821</v>
      </c>
      <c r="B822" s="29"/>
      <c r="C822" s="29"/>
      <c r="D822" s="30"/>
      <c r="E822" s="29"/>
      <c r="F822" s="31"/>
      <c r="G822" s="29" t="str">
        <f>IF('단어 시험장'!E822="❌","❌","")</f>
        <v/>
      </c>
      <c r="H822" s="35" t="str" cm="1">
        <f t="array" ref="H822">IF(B822="","",IF(COUNTIF($B$2:$B$501,B822)&gt;1,"No."&amp;_xlfn.TEXTJOIN(", ",TRUE,IF(($B$2:$B$501=B822)*(ROW($B$2:$B$501)&lt;&gt;ROW(B822)),""&amp;$A$2:$A$501,"")),""))</f>
        <v/>
      </c>
      <c r="I822" s="29"/>
    </row>
    <row r="823" spans="1:9" x14ac:dyDescent="0.4">
      <c r="A823" s="29">
        <v>822</v>
      </c>
      <c r="B823" s="29"/>
      <c r="C823" s="29"/>
      <c r="D823" s="30"/>
      <c r="E823" s="29"/>
      <c r="F823" s="31"/>
      <c r="G823" s="29" t="str">
        <f>IF('단어 시험장'!E823="❌","❌","")</f>
        <v/>
      </c>
      <c r="H823" s="35" t="str" cm="1">
        <f t="array" ref="H823">IF(B823="","",IF(COUNTIF($B$2:$B$501,B823)&gt;1,"No."&amp;_xlfn.TEXTJOIN(", ",TRUE,IF(($B$2:$B$501=B823)*(ROW($B$2:$B$501)&lt;&gt;ROW(B823)),""&amp;$A$2:$A$501,"")),""))</f>
        <v/>
      </c>
      <c r="I823" s="29"/>
    </row>
    <row r="824" spans="1:9" x14ac:dyDescent="0.4">
      <c r="A824" s="29">
        <v>823</v>
      </c>
      <c r="B824" s="29"/>
      <c r="C824" s="29"/>
      <c r="D824" s="30"/>
      <c r="E824" s="29"/>
      <c r="F824" s="31"/>
      <c r="G824" s="29" t="str">
        <f>IF('단어 시험장'!E824="❌","❌","")</f>
        <v/>
      </c>
      <c r="H824" s="35" t="str" cm="1">
        <f t="array" ref="H824">IF(B824="","",IF(COUNTIF($B$2:$B$501,B824)&gt;1,"No."&amp;_xlfn.TEXTJOIN(", ",TRUE,IF(($B$2:$B$501=B824)*(ROW($B$2:$B$501)&lt;&gt;ROW(B824)),""&amp;$A$2:$A$501,"")),""))</f>
        <v/>
      </c>
      <c r="I824" s="29"/>
    </row>
    <row r="825" spans="1:9" x14ac:dyDescent="0.4">
      <c r="A825" s="29">
        <v>824</v>
      </c>
      <c r="B825" s="29"/>
      <c r="C825" s="29"/>
      <c r="D825" s="30"/>
      <c r="E825" s="29"/>
      <c r="F825" s="31"/>
      <c r="G825" s="29" t="str">
        <f>IF('단어 시험장'!E825="❌","❌","")</f>
        <v/>
      </c>
      <c r="H825" s="35" t="str" cm="1">
        <f t="array" ref="H825">IF(B825="","",IF(COUNTIF($B$2:$B$501,B825)&gt;1,"No."&amp;_xlfn.TEXTJOIN(", ",TRUE,IF(($B$2:$B$501=B825)*(ROW($B$2:$B$501)&lt;&gt;ROW(B825)),""&amp;$A$2:$A$501,"")),""))</f>
        <v/>
      </c>
      <c r="I825" s="29"/>
    </row>
    <row r="826" spans="1:9" x14ac:dyDescent="0.4">
      <c r="A826" s="29">
        <v>825</v>
      </c>
      <c r="B826" s="29"/>
      <c r="C826" s="29"/>
      <c r="D826" s="30"/>
      <c r="E826" s="29"/>
      <c r="F826" s="31"/>
      <c r="G826" s="29" t="str">
        <f>IF('단어 시험장'!E826="❌","❌","")</f>
        <v/>
      </c>
      <c r="H826" s="35" t="str" cm="1">
        <f t="array" ref="H826">IF(B826="","",IF(COUNTIF($B$2:$B$501,B826)&gt;1,"No."&amp;_xlfn.TEXTJOIN(", ",TRUE,IF(($B$2:$B$501=B826)*(ROW($B$2:$B$501)&lt;&gt;ROW(B826)),""&amp;$A$2:$A$501,"")),""))</f>
        <v/>
      </c>
      <c r="I826" s="29"/>
    </row>
    <row r="827" spans="1:9" x14ac:dyDescent="0.4">
      <c r="A827" s="29">
        <v>826</v>
      </c>
      <c r="B827" s="29"/>
      <c r="C827" s="29"/>
      <c r="D827" s="30"/>
      <c r="E827" s="29"/>
      <c r="F827" s="31"/>
      <c r="G827" s="29" t="str">
        <f>IF('단어 시험장'!E827="❌","❌","")</f>
        <v/>
      </c>
      <c r="H827" s="35" t="str" cm="1">
        <f t="array" ref="H827">IF(B827="","",IF(COUNTIF($B$2:$B$501,B827)&gt;1,"No."&amp;_xlfn.TEXTJOIN(", ",TRUE,IF(($B$2:$B$501=B827)*(ROW($B$2:$B$501)&lt;&gt;ROW(B827)),""&amp;$A$2:$A$501,"")),""))</f>
        <v/>
      </c>
      <c r="I827" s="29"/>
    </row>
    <row r="828" spans="1:9" x14ac:dyDescent="0.4">
      <c r="A828" s="29">
        <v>827</v>
      </c>
      <c r="B828" s="29"/>
      <c r="C828" s="29"/>
      <c r="D828" s="30"/>
      <c r="E828" s="29"/>
      <c r="F828" s="31"/>
      <c r="G828" s="29" t="str">
        <f>IF('단어 시험장'!E828="❌","❌","")</f>
        <v/>
      </c>
      <c r="H828" s="35" t="str" cm="1">
        <f t="array" ref="H828">IF(B828="","",IF(COUNTIF($B$2:$B$501,B828)&gt;1,"No."&amp;_xlfn.TEXTJOIN(", ",TRUE,IF(($B$2:$B$501=B828)*(ROW($B$2:$B$501)&lt;&gt;ROW(B828)),""&amp;$A$2:$A$501,"")),""))</f>
        <v/>
      </c>
      <c r="I828" s="29"/>
    </row>
    <row r="829" spans="1:9" x14ac:dyDescent="0.4">
      <c r="A829" s="29">
        <v>828</v>
      </c>
      <c r="B829" s="29"/>
      <c r="C829" s="29"/>
      <c r="D829" s="30"/>
      <c r="E829" s="29"/>
      <c r="F829" s="31"/>
      <c r="G829" s="29" t="str">
        <f>IF('단어 시험장'!E829="❌","❌","")</f>
        <v/>
      </c>
      <c r="H829" s="35" t="str" cm="1">
        <f t="array" ref="H829">IF(B829="","",IF(COUNTIF($B$2:$B$501,B829)&gt;1,"No."&amp;_xlfn.TEXTJOIN(", ",TRUE,IF(($B$2:$B$501=B829)*(ROW($B$2:$B$501)&lt;&gt;ROW(B829)),""&amp;$A$2:$A$501,"")),""))</f>
        <v/>
      </c>
      <c r="I829" s="29"/>
    </row>
    <row r="830" spans="1:9" x14ac:dyDescent="0.4">
      <c r="A830" s="29">
        <v>829</v>
      </c>
      <c r="B830" s="29"/>
      <c r="C830" s="29"/>
      <c r="D830" s="30"/>
      <c r="E830" s="29"/>
      <c r="F830" s="31"/>
      <c r="G830" s="29" t="str">
        <f>IF('단어 시험장'!E830="❌","❌","")</f>
        <v/>
      </c>
      <c r="H830" s="35" t="str" cm="1">
        <f t="array" ref="H830">IF(B830="","",IF(COUNTIF($B$2:$B$501,B830)&gt;1,"No."&amp;_xlfn.TEXTJOIN(", ",TRUE,IF(($B$2:$B$501=B830)*(ROW($B$2:$B$501)&lt;&gt;ROW(B830)),""&amp;$A$2:$A$501,"")),""))</f>
        <v/>
      </c>
      <c r="I830" s="29"/>
    </row>
    <row r="831" spans="1:9" x14ac:dyDescent="0.4">
      <c r="A831" s="29">
        <v>830</v>
      </c>
      <c r="B831" s="29"/>
      <c r="C831" s="29"/>
      <c r="D831" s="30"/>
      <c r="E831" s="29"/>
      <c r="F831" s="31"/>
      <c r="G831" s="29" t="str">
        <f>IF('단어 시험장'!E831="❌","❌","")</f>
        <v/>
      </c>
      <c r="H831" s="35" t="str" cm="1">
        <f t="array" ref="H831">IF(B831="","",IF(COUNTIF($B$2:$B$501,B831)&gt;1,"No."&amp;_xlfn.TEXTJOIN(", ",TRUE,IF(($B$2:$B$501=B831)*(ROW($B$2:$B$501)&lt;&gt;ROW(B831)),""&amp;$A$2:$A$501,"")),""))</f>
        <v/>
      </c>
      <c r="I831" s="29"/>
    </row>
    <row r="832" spans="1:9" x14ac:dyDescent="0.4">
      <c r="A832" s="29">
        <v>831</v>
      </c>
      <c r="B832" s="29"/>
      <c r="C832" s="29"/>
      <c r="D832" s="30"/>
      <c r="E832" s="29"/>
      <c r="F832" s="31"/>
      <c r="G832" s="29" t="str">
        <f>IF('단어 시험장'!E832="❌","❌","")</f>
        <v/>
      </c>
      <c r="H832" s="35" t="str" cm="1">
        <f t="array" ref="H832">IF(B832="","",IF(COUNTIF($B$2:$B$501,B832)&gt;1,"No."&amp;_xlfn.TEXTJOIN(", ",TRUE,IF(($B$2:$B$501=B832)*(ROW($B$2:$B$501)&lt;&gt;ROW(B832)),""&amp;$A$2:$A$501,"")),""))</f>
        <v/>
      </c>
      <c r="I832" s="29"/>
    </row>
    <row r="833" spans="1:9" x14ac:dyDescent="0.4">
      <c r="A833" s="29">
        <v>832</v>
      </c>
      <c r="B833" s="29"/>
      <c r="C833" s="29"/>
      <c r="D833" s="30"/>
      <c r="E833" s="29"/>
      <c r="F833" s="31"/>
      <c r="G833" s="29" t="str">
        <f>IF('단어 시험장'!E833="❌","❌","")</f>
        <v/>
      </c>
      <c r="H833" s="35" t="str" cm="1">
        <f t="array" ref="H833">IF(B833="","",IF(COUNTIF($B$2:$B$501,B833)&gt;1,"No."&amp;_xlfn.TEXTJOIN(", ",TRUE,IF(($B$2:$B$501=B833)*(ROW($B$2:$B$501)&lt;&gt;ROW(B833)),""&amp;$A$2:$A$501,"")),""))</f>
        <v/>
      </c>
      <c r="I833" s="29"/>
    </row>
    <row r="834" spans="1:9" x14ac:dyDescent="0.4">
      <c r="A834" s="29">
        <v>833</v>
      </c>
      <c r="B834" s="29"/>
      <c r="C834" s="29"/>
      <c r="D834" s="30"/>
      <c r="E834" s="29"/>
      <c r="F834" s="31"/>
      <c r="G834" s="29" t="str">
        <f>IF('단어 시험장'!E834="❌","❌","")</f>
        <v/>
      </c>
      <c r="H834" s="35" t="str" cm="1">
        <f t="array" ref="H834">IF(B834="","",IF(COUNTIF($B$2:$B$501,B834)&gt;1,"No."&amp;_xlfn.TEXTJOIN(", ",TRUE,IF(($B$2:$B$501=B834)*(ROW($B$2:$B$501)&lt;&gt;ROW(B834)),""&amp;$A$2:$A$501,"")),""))</f>
        <v/>
      </c>
      <c r="I834" s="29"/>
    </row>
    <row r="835" spans="1:9" x14ac:dyDescent="0.4">
      <c r="A835" s="29">
        <v>834</v>
      </c>
      <c r="B835" s="29"/>
      <c r="C835" s="29"/>
      <c r="D835" s="30"/>
      <c r="E835" s="29"/>
      <c r="F835" s="31"/>
      <c r="G835" s="29" t="str">
        <f>IF('단어 시험장'!E835="❌","❌","")</f>
        <v/>
      </c>
      <c r="H835" s="35" t="str" cm="1">
        <f t="array" ref="H835">IF(B835="","",IF(COUNTIF($B$2:$B$501,B835)&gt;1,"No."&amp;_xlfn.TEXTJOIN(", ",TRUE,IF(($B$2:$B$501=B835)*(ROW($B$2:$B$501)&lt;&gt;ROW(B835)),""&amp;$A$2:$A$501,"")),""))</f>
        <v/>
      </c>
      <c r="I835" s="29"/>
    </row>
    <row r="836" spans="1:9" x14ac:dyDescent="0.4">
      <c r="A836" s="29">
        <v>835</v>
      </c>
      <c r="B836" s="29"/>
      <c r="C836" s="29"/>
      <c r="D836" s="30"/>
      <c r="E836" s="29"/>
      <c r="F836" s="31"/>
      <c r="G836" s="29" t="str">
        <f>IF('단어 시험장'!E836="❌","❌","")</f>
        <v/>
      </c>
      <c r="H836" s="35" t="str" cm="1">
        <f t="array" ref="H836">IF(B836="","",IF(COUNTIF($B$2:$B$501,B836)&gt;1,"No."&amp;_xlfn.TEXTJOIN(", ",TRUE,IF(($B$2:$B$501=B836)*(ROW($B$2:$B$501)&lt;&gt;ROW(B836)),""&amp;$A$2:$A$501,"")),""))</f>
        <v/>
      </c>
      <c r="I836" s="29"/>
    </row>
    <row r="837" spans="1:9" x14ac:dyDescent="0.4">
      <c r="A837" s="29">
        <v>836</v>
      </c>
      <c r="B837" s="29"/>
      <c r="C837" s="29"/>
      <c r="D837" s="30"/>
      <c r="E837" s="29"/>
      <c r="F837" s="31"/>
      <c r="G837" s="29" t="str">
        <f>IF('단어 시험장'!E837="❌","❌","")</f>
        <v/>
      </c>
      <c r="H837" s="35" t="str" cm="1">
        <f t="array" ref="H837">IF(B837="","",IF(COUNTIF($B$2:$B$501,B837)&gt;1,"No."&amp;_xlfn.TEXTJOIN(", ",TRUE,IF(($B$2:$B$501=B837)*(ROW($B$2:$B$501)&lt;&gt;ROW(B837)),""&amp;$A$2:$A$501,"")),""))</f>
        <v/>
      </c>
      <c r="I837" s="29"/>
    </row>
    <row r="838" spans="1:9" x14ac:dyDescent="0.4">
      <c r="A838" s="29">
        <v>837</v>
      </c>
      <c r="B838" s="29"/>
      <c r="C838" s="29"/>
      <c r="D838" s="30"/>
      <c r="E838" s="29"/>
      <c r="F838" s="31"/>
      <c r="G838" s="29" t="str">
        <f>IF('단어 시험장'!E838="❌","❌","")</f>
        <v/>
      </c>
      <c r="H838" s="35" t="str" cm="1">
        <f t="array" ref="H838">IF(B838="","",IF(COUNTIF($B$2:$B$501,B838)&gt;1,"No."&amp;_xlfn.TEXTJOIN(", ",TRUE,IF(($B$2:$B$501=B838)*(ROW($B$2:$B$501)&lt;&gt;ROW(B838)),""&amp;$A$2:$A$501,"")),""))</f>
        <v/>
      </c>
      <c r="I838" s="29"/>
    </row>
    <row r="839" spans="1:9" x14ac:dyDescent="0.4">
      <c r="A839" s="29">
        <v>838</v>
      </c>
      <c r="B839" s="29"/>
      <c r="C839" s="29"/>
      <c r="D839" s="30"/>
      <c r="E839" s="29"/>
      <c r="F839" s="31"/>
      <c r="G839" s="29" t="str">
        <f>IF('단어 시험장'!E839="❌","❌","")</f>
        <v/>
      </c>
      <c r="H839" s="35" t="str" cm="1">
        <f t="array" ref="H839">IF(B839="","",IF(COUNTIF($B$2:$B$501,B839)&gt;1,"No."&amp;_xlfn.TEXTJOIN(", ",TRUE,IF(($B$2:$B$501=B839)*(ROW($B$2:$B$501)&lt;&gt;ROW(B839)),""&amp;$A$2:$A$501,"")),""))</f>
        <v/>
      </c>
      <c r="I839" s="29"/>
    </row>
    <row r="840" spans="1:9" x14ac:dyDescent="0.4">
      <c r="A840" s="29">
        <v>839</v>
      </c>
      <c r="B840" s="29"/>
      <c r="C840" s="29"/>
      <c r="D840" s="30"/>
      <c r="E840" s="29"/>
      <c r="F840" s="31"/>
      <c r="G840" s="29" t="str">
        <f>IF('단어 시험장'!E840="❌","❌","")</f>
        <v/>
      </c>
      <c r="H840" s="35" t="str" cm="1">
        <f t="array" ref="H840">IF(B840="","",IF(COUNTIF($B$2:$B$501,B840)&gt;1,"No."&amp;_xlfn.TEXTJOIN(", ",TRUE,IF(($B$2:$B$501=B840)*(ROW($B$2:$B$501)&lt;&gt;ROW(B840)),""&amp;$A$2:$A$501,"")),""))</f>
        <v/>
      </c>
      <c r="I840" s="29"/>
    </row>
    <row r="841" spans="1:9" x14ac:dyDescent="0.4">
      <c r="A841" s="29">
        <v>840</v>
      </c>
      <c r="B841" s="29"/>
      <c r="C841" s="29"/>
      <c r="D841" s="30"/>
      <c r="E841" s="29"/>
      <c r="F841" s="31"/>
      <c r="G841" s="29" t="str">
        <f>IF('단어 시험장'!E841="❌","❌","")</f>
        <v/>
      </c>
      <c r="H841" s="35" t="str" cm="1">
        <f t="array" ref="H841">IF(B841="","",IF(COUNTIF($B$2:$B$501,B841)&gt;1,"No."&amp;_xlfn.TEXTJOIN(", ",TRUE,IF(($B$2:$B$501=B841)*(ROW($B$2:$B$501)&lt;&gt;ROW(B841)),""&amp;$A$2:$A$501,"")),""))</f>
        <v/>
      </c>
      <c r="I841" s="29"/>
    </row>
    <row r="842" spans="1:9" x14ac:dyDescent="0.4">
      <c r="A842" s="29">
        <v>841</v>
      </c>
      <c r="B842" s="29"/>
      <c r="C842" s="29"/>
      <c r="D842" s="30"/>
      <c r="E842" s="29"/>
      <c r="F842" s="31"/>
      <c r="G842" s="29" t="str">
        <f>IF('단어 시험장'!E842="❌","❌","")</f>
        <v/>
      </c>
      <c r="H842" s="35" t="str" cm="1">
        <f t="array" ref="H842">IF(B842="","",IF(COUNTIF($B$2:$B$501,B842)&gt;1,"No."&amp;_xlfn.TEXTJOIN(", ",TRUE,IF(($B$2:$B$501=B842)*(ROW($B$2:$B$501)&lt;&gt;ROW(B842)),""&amp;$A$2:$A$501,"")),""))</f>
        <v/>
      </c>
      <c r="I842" s="29"/>
    </row>
    <row r="843" spans="1:9" x14ac:dyDescent="0.4">
      <c r="A843" s="29">
        <v>842</v>
      </c>
      <c r="B843" s="29"/>
      <c r="C843" s="29"/>
      <c r="D843" s="30"/>
      <c r="E843" s="29"/>
      <c r="F843" s="31"/>
      <c r="G843" s="29" t="str">
        <f>IF('단어 시험장'!E843="❌","❌","")</f>
        <v/>
      </c>
      <c r="H843" s="35" t="str" cm="1">
        <f t="array" ref="H843">IF(B843="","",IF(COUNTIF($B$2:$B$501,B843)&gt;1,"No."&amp;_xlfn.TEXTJOIN(", ",TRUE,IF(($B$2:$B$501=B843)*(ROW($B$2:$B$501)&lt;&gt;ROW(B843)),""&amp;$A$2:$A$501,"")),""))</f>
        <v/>
      </c>
      <c r="I843" s="29"/>
    </row>
    <row r="844" spans="1:9" x14ac:dyDescent="0.4">
      <c r="A844" s="29">
        <v>843</v>
      </c>
      <c r="B844" s="29"/>
      <c r="C844" s="29"/>
      <c r="D844" s="30"/>
      <c r="E844" s="29"/>
      <c r="F844" s="31"/>
      <c r="G844" s="29" t="str">
        <f>IF('단어 시험장'!E844="❌","❌","")</f>
        <v/>
      </c>
      <c r="H844" s="35" t="str" cm="1">
        <f t="array" ref="H844">IF(B844="","",IF(COUNTIF($B$2:$B$501,B844)&gt;1,"No."&amp;_xlfn.TEXTJOIN(", ",TRUE,IF(($B$2:$B$501=B844)*(ROW($B$2:$B$501)&lt;&gt;ROW(B844)),""&amp;$A$2:$A$501,"")),""))</f>
        <v/>
      </c>
      <c r="I844" s="29"/>
    </row>
    <row r="845" spans="1:9" x14ac:dyDescent="0.4">
      <c r="A845" s="29">
        <v>844</v>
      </c>
      <c r="B845" s="29"/>
      <c r="C845" s="29"/>
      <c r="D845" s="30"/>
      <c r="E845" s="29"/>
      <c r="F845" s="31"/>
      <c r="G845" s="29" t="str">
        <f>IF('단어 시험장'!E845="❌","❌","")</f>
        <v/>
      </c>
      <c r="H845" s="35" t="str" cm="1">
        <f t="array" ref="H845">IF(B845="","",IF(COUNTIF($B$2:$B$501,B845)&gt;1,"No."&amp;_xlfn.TEXTJOIN(", ",TRUE,IF(($B$2:$B$501=B845)*(ROW($B$2:$B$501)&lt;&gt;ROW(B845)),""&amp;$A$2:$A$501,"")),""))</f>
        <v/>
      </c>
      <c r="I845" s="29"/>
    </row>
    <row r="846" spans="1:9" x14ac:dyDescent="0.4">
      <c r="A846" s="29">
        <v>845</v>
      </c>
      <c r="B846" s="29"/>
      <c r="C846" s="29"/>
      <c r="D846" s="30"/>
      <c r="E846" s="29"/>
      <c r="F846" s="31"/>
      <c r="G846" s="29" t="str">
        <f>IF('단어 시험장'!E846="❌","❌","")</f>
        <v/>
      </c>
      <c r="H846" s="35" t="str" cm="1">
        <f t="array" ref="H846">IF(B846="","",IF(COUNTIF($B$2:$B$501,B846)&gt;1,"No."&amp;_xlfn.TEXTJOIN(", ",TRUE,IF(($B$2:$B$501=B846)*(ROW($B$2:$B$501)&lt;&gt;ROW(B846)),""&amp;$A$2:$A$501,"")),""))</f>
        <v/>
      </c>
      <c r="I846" s="29"/>
    </row>
    <row r="847" spans="1:9" x14ac:dyDescent="0.4">
      <c r="A847" s="29">
        <v>846</v>
      </c>
      <c r="B847" s="29"/>
      <c r="C847" s="29"/>
      <c r="D847" s="30"/>
      <c r="E847" s="29"/>
      <c r="F847" s="31"/>
      <c r="G847" s="29" t="str">
        <f>IF('단어 시험장'!E847="❌","❌","")</f>
        <v/>
      </c>
      <c r="H847" s="35" t="str" cm="1">
        <f t="array" ref="H847">IF(B847="","",IF(COUNTIF($B$2:$B$501,B847)&gt;1,"No."&amp;_xlfn.TEXTJOIN(", ",TRUE,IF(($B$2:$B$501=B847)*(ROW($B$2:$B$501)&lt;&gt;ROW(B847)),""&amp;$A$2:$A$501,"")),""))</f>
        <v/>
      </c>
      <c r="I847" s="29"/>
    </row>
    <row r="848" spans="1:9" x14ac:dyDescent="0.4">
      <c r="A848" s="29">
        <v>847</v>
      </c>
      <c r="B848" s="29"/>
      <c r="C848" s="29"/>
      <c r="D848" s="30"/>
      <c r="E848" s="29"/>
      <c r="F848" s="31"/>
      <c r="G848" s="29" t="str">
        <f>IF('단어 시험장'!E848="❌","❌","")</f>
        <v/>
      </c>
      <c r="H848" s="35" t="str" cm="1">
        <f t="array" ref="H848">IF(B848="","",IF(COUNTIF($B$2:$B$501,B848)&gt;1,"No."&amp;_xlfn.TEXTJOIN(", ",TRUE,IF(($B$2:$B$501=B848)*(ROW($B$2:$B$501)&lt;&gt;ROW(B848)),""&amp;$A$2:$A$501,"")),""))</f>
        <v/>
      </c>
      <c r="I848" s="29"/>
    </row>
    <row r="849" spans="1:9" x14ac:dyDescent="0.4">
      <c r="A849" s="29">
        <v>848</v>
      </c>
      <c r="B849" s="29"/>
      <c r="C849" s="29"/>
      <c r="D849" s="30"/>
      <c r="E849" s="29"/>
      <c r="F849" s="31"/>
      <c r="G849" s="29" t="str">
        <f>IF('단어 시험장'!E849="❌","❌","")</f>
        <v/>
      </c>
      <c r="H849" s="35" t="str" cm="1">
        <f t="array" ref="H849">IF(B849="","",IF(COUNTIF($B$2:$B$501,B849)&gt;1,"No."&amp;_xlfn.TEXTJOIN(", ",TRUE,IF(($B$2:$B$501=B849)*(ROW($B$2:$B$501)&lt;&gt;ROW(B849)),""&amp;$A$2:$A$501,"")),""))</f>
        <v/>
      </c>
      <c r="I849" s="29"/>
    </row>
    <row r="850" spans="1:9" x14ac:dyDescent="0.4">
      <c r="A850" s="29">
        <v>849</v>
      </c>
      <c r="B850" s="29"/>
      <c r="C850" s="29"/>
      <c r="D850" s="30"/>
      <c r="E850" s="29"/>
      <c r="F850" s="31"/>
      <c r="G850" s="29" t="str">
        <f>IF('단어 시험장'!E850="❌","❌","")</f>
        <v/>
      </c>
      <c r="H850" s="35" t="str" cm="1">
        <f t="array" ref="H850">IF(B850="","",IF(COUNTIF($B$2:$B$501,B850)&gt;1,"No."&amp;_xlfn.TEXTJOIN(", ",TRUE,IF(($B$2:$B$501=B850)*(ROW($B$2:$B$501)&lt;&gt;ROW(B850)),""&amp;$A$2:$A$501,"")),""))</f>
        <v/>
      </c>
      <c r="I850" s="29"/>
    </row>
    <row r="851" spans="1:9" x14ac:dyDescent="0.4">
      <c r="A851" s="29">
        <v>850</v>
      </c>
      <c r="B851" s="29"/>
      <c r="C851" s="29"/>
      <c r="D851" s="30"/>
      <c r="E851" s="29"/>
      <c r="F851" s="31"/>
      <c r="G851" s="29" t="str">
        <f>IF('단어 시험장'!E851="❌","❌","")</f>
        <v/>
      </c>
      <c r="H851" s="35" t="str" cm="1">
        <f t="array" ref="H851">IF(B851="","",IF(COUNTIF($B$2:$B$501,B851)&gt;1,"No."&amp;_xlfn.TEXTJOIN(", ",TRUE,IF(($B$2:$B$501=B851)*(ROW($B$2:$B$501)&lt;&gt;ROW(B851)),""&amp;$A$2:$A$501,"")),""))</f>
        <v/>
      </c>
      <c r="I851" s="29"/>
    </row>
    <row r="852" spans="1:9" x14ac:dyDescent="0.4">
      <c r="A852" s="29">
        <v>851</v>
      </c>
      <c r="B852" s="29"/>
      <c r="C852" s="29"/>
      <c r="D852" s="30"/>
      <c r="E852" s="29"/>
      <c r="F852" s="31"/>
      <c r="G852" s="29" t="str">
        <f>IF('단어 시험장'!E852="❌","❌","")</f>
        <v/>
      </c>
      <c r="H852" s="35" t="str" cm="1">
        <f t="array" ref="H852">IF(B852="","",IF(COUNTIF($B$2:$B$501,B852)&gt;1,"No."&amp;_xlfn.TEXTJOIN(", ",TRUE,IF(($B$2:$B$501=B852)*(ROW($B$2:$B$501)&lt;&gt;ROW(B852)),""&amp;$A$2:$A$501,"")),""))</f>
        <v/>
      </c>
      <c r="I852" s="29"/>
    </row>
    <row r="853" spans="1:9" x14ac:dyDescent="0.4">
      <c r="A853" s="29">
        <v>852</v>
      </c>
      <c r="B853" s="29"/>
      <c r="C853" s="29"/>
      <c r="D853" s="30"/>
      <c r="E853" s="29"/>
      <c r="F853" s="31"/>
      <c r="G853" s="29" t="str">
        <f>IF('단어 시험장'!E853="❌","❌","")</f>
        <v/>
      </c>
      <c r="H853" s="35" t="str" cm="1">
        <f t="array" ref="H853">IF(B853="","",IF(COUNTIF($B$2:$B$501,B853)&gt;1,"No."&amp;_xlfn.TEXTJOIN(", ",TRUE,IF(($B$2:$B$501=B853)*(ROW($B$2:$B$501)&lt;&gt;ROW(B853)),""&amp;$A$2:$A$501,"")),""))</f>
        <v/>
      </c>
      <c r="I853" s="29"/>
    </row>
    <row r="854" spans="1:9" x14ac:dyDescent="0.4">
      <c r="A854" s="29">
        <v>853</v>
      </c>
      <c r="B854" s="29"/>
      <c r="C854" s="29"/>
      <c r="D854" s="30"/>
      <c r="E854" s="29"/>
      <c r="F854" s="31"/>
      <c r="G854" s="29" t="str">
        <f>IF('단어 시험장'!E854="❌","❌","")</f>
        <v/>
      </c>
      <c r="H854" s="35" t="str" cm="1">
        <f t="array" ref="H854">IF(B854="","",IF(COUNTIF($B$2:$B$501,B854)&gt;1,"No."&amp;_xlfn.TEXTJOIN(", ",TRUE,IF(($B$2:$B$501=B854)*(ROW($B$2:$B$501)&lt;&gt;ROW(B854)),""&amp;$A$2:$A$501,"")),""))</f>
        <v/>
      </c>
      <c r="I854" s="29"/>
    </row>
    <row r="855" spans="1:9" x14ac:dyDescent="0.4">
      <c r="A855" s="29">
        <v>854</v>
      </c>
      <c r="B855" s="29"/>
      <c r="C855" s="29"/>
      <c r="D855" s="30"/>
      <c r="E855" s="29"/>
      <c r="F855" s="31"/>
      <c r="G855" s="29" t="str">
        <f>IF('단어 시험장'!E855="❌","❌","")</f>
        <v/>
      </c>
      <c r="H855" s="35" t="str" cm="1">
        <f t="array" ref="H855">IF(B855="","",IF(COUNTIF($B$2:$B$501,B855)&gt;1,"No."&amp;_xlfn.TEXTJOIN(", ",TRUE,IF(($B$2:$B$501=B855)*(ROW($B$2:$B$501)&lt;&gt;ROW(B855)),""&amp;$A$2:$A$501,"")),""))</f>
        <v/>
      </c>
      <c r="I855" s="29"/>
    </row>
    <row r="856" spans="1:9" x14ac:dyDescent="0.4">
      <c r="A856" s="29">
        <v>855</v>
      </c>
      <c r="B856" s="29"/>
      <c r="C856" s="29"/>
      <c r="D856" s="30"/>
      <c r="E856" s="29"/>
      <c r="F856" s="31"/>
      <c r="G856" s="29" t="str">
        <f>IF('단어 시험장'!E856="❌","❌","")</f>
        <v/>
      </c>
      <c r="H856" s="35" t="str" cm="1">
        <f t="array" ref="H856">IF(B856="","",IF(COUNTIF($B$2:$B$501,B856)&gt;1,"No."&amp;_xlfn.TEXTJOIN(", ",TRUE,IF(($B$2:$B$501=B856)*(ROW($B$2:$B$501)&lt;&gt;ROW(B856)),""&amp;$A$2:$A$501,"")),""))</f>
        <v/>
      </c>
      <c r="I856" s="29"/>
    </row>
    <row r="857" spans="1:9" x14ac:dyDescent="0.4">
      <c r="A857" s="29">
        <v>856</v>
      </c>
      <c r="B857" s="29"/>
      <c r="C857" s="29"/>
      <c r="D857" s="30"/>
      <c r="E857" s="29"/>
      <c r="F857" s="31"/>
      <c r="G857" s="29" t="str">
        <f>IF('단어 시험장'!E857="❌","❌","")</f>
        <v/>
      </c>
      <c r="H857" s="35" t="str" cm="1">
        <f t="array" ref="H857">IF(B857="","",IF(COUNTIF($B$2:$B$501,B857)&gt;1,"No."&amp;_xlfn.TEXTJOIN(", ",TRUE,IF(($B$2:$B$501=B857)*(ROW($B$2:$B$501)&lt;&gt;ROW(B857)),""&amp;$A$2:$A$501,"")),""))</f>
        <v/>
      </c>
      <c r="I857" s="29"/>
    </row>
    <row r="858" spans="1:9" x14ac:dyDescent="0.4">
      <c r="A858" s="29">
        <v>857</v>
      </c>
      <c r="B858" s="29"/>
      <c r="C858" s="29"/>
      <c r="D858" s="30"/>
      <c r="E858" s="29"/>
      <c r="F858" s="31"/>
      <c r="G858" s="29" t="str">
        <f>IF('단어 시험장'!E858="❌","❌","")</f>
        <v/>
      </c>
      <c r="H858" s="35" t="str" cm="1">
        <f t="array" ref="H858">IF(B858="","",IF(COUNTIF($B$2:$B$501,B858)&gt;1,"No."&amp;_xlfn.TEXTJOIN(", ",TRUE,IF(($B$2:$B$501=B858)*(ROW($B$2:$B$501)&lt;&gt;ROW(B858)),""&amp;$A$2:$A$501,"")),""))</f>
        <v/>
      </c>
      <c r="I858" s="29"/>
    </row>
    <row r="859" spans="1:9" x14ac:dyDescent="0.4">
      <c r="A859" s="29">
        <v>858</v>
      </c>
      <c r="B859" s="29"/>
      <c r="C859" s="29"/>
      <c r="D859" s="30"/>
      <c r="E859" s="29"/>
      <c r="F859" s="31"/>
      <c r="G859" s="29" t="str">
        <f>IF('단어 시험장'!E859="❌","❌","")</f>
        <v/>
      </c>
      <c r="H859" s="35" t="str" cm="1">
        <f t="array" ref="H859">IF(B859="","",IF(COUNTIF($B$2:$B$501,B859)&gt;1,"No."&amp;_xlfn.TEXTJOIN(", ",TRUE,IF(($B$2:$B$501=B859)*(ROW($B$2:$B$501)&lt;&gt;ROW(B859)),""&amp;$A$2:$A$501,"")),""))</f>
        <v/>
      </c>
      <c r="I859" s="29"/>
    </row>
    <row r="860" spans="1:9" x14ac:dyDescent="0.4">
      <c r="A860" s="29">
        <v>859</v>
      </c>
      <c r="B860" s="29"/>
      <c r="C860" s="29"/>
      <c r="D860" s="30"/>
      <c r="E860" s="29"/>
      <c r="F860" s="31"/>
      <c r="G860" s="29" t="str">
        <f>IF('단어 시험장'!E860="❌","❌","")</f>
        <v/>
      </c>
      <c r="H860" s="35" t="str" cm="1">
        <f t="array" ref="H860">IF(B860="","",IF(COUNTIF($B$2:$B$501,B860)&gt;1,"No."&amp;_xlfn.TEXTJOIN(", ",TRUE,IF(($B$2:$B$501=B860)*(ROW($B$2:$B$501)&lt;&gt;ROW(B860)),""&amp;$A$2:$A$501,"")),""))</f>
        <v/>
      </c>
      <c r="I860" s="29"/>
    </row>
    <row r="861" spans="1:9" x14ac:dyDescent="0.4">
      <c r="A861" s="29">
        <v>860</v>
      </c>
      <c r="B861" s="29"/>
      <c r="C861" s="29"/>
      <c r="D861" s="30"/>
      <c r="E861" s="29"/>
      <c r="F861" s="31"/>
      <c r="G861" s="29" t="str">
        <f>IF('단어 시험장'!E861="❌","❌","")</f>
        <v/>
      </c>
      <c r="H861" s="35" t="str" cm="1">
        <f t="array" ref="H861">IF(B861="","",IF(COUNTIF($B$2:$B$501,B861)&gt;1,"No."&amp;_xlfn.TEXTJOIN(", ",TRUE,IF(($B$2:$B$501=B861)*(ROW($B$2:$B$501)&lt;&gt;ROW(B861)),""&amp;$A$2:$A$501,"")),""))</f>
        <v/>
      </c>
      <c r="I861" s="29"/>
    </row>
    <row r="862" spans="1:9" x14ac:dyDescent="0.4">
      <c r="A862" s="29">
        <v>861</v>
      </c>
      <c r="B862" s="29"/>
      <c r="C862" s="29"/>
      <c r="D862" s="30"/>
      <c r="E862" s="29"/>
      <c r="F862" s="31"/>
      <c r="G862" s="29" t="str">
        <f>IF('단어 시험장'!E862="❌","❌","")</f>
        <v/>
      </c>
      <c r="H862" s="35" t="str" cm="1">
        <f t="array" ref="H862">IF(B862="","",IF(COUNTIF($B$2:$B$501,B862)&gt;1,"No."&amp;_xlfn.TEXTJOIN(", ",TRUE,IF(($B$2:$B$501=B862)*(ROW($B$2:$B$501)&lt;&gt;ROW(B862)),""&amp;$A$2:$A$501,"")),""))</f>
        <v/>
      </c>
      <c r="I862" s="29"/>
    </row>
    <row r="863" spans="1:9" x14ac:dyDescent="0.4">
      <c r="A863" s="29">
        <v>862</v>
      </c>
      <c r="B863" s="29"/>
      <c r="C863" s="29"/>
      <c r="D863" s="30"/>
      <c r="E863" s="29"/>
      <c r="F863" s="31"/>
      <c r="G863" s="29" t="str">
        <f>IF('단어 시험장'!E863="❌","❌","")</f>
        <v/>
      </c>
      <c r="H863" s="35" t="str" cm="1">
        <f t="array" ref="H863">IF(B863="","",IF(COUNTIF($B$2:$B$501,B863)&gt;1,"No."&amp;_xlfn.TEXTJOIN(", ",TRUE,IF(($B$2:$B$501=B863)*(ROW($B$2:$B$501)&lt;&gt;ROW(B863)),""&amp;$A$2:$A$501,"")),""))</f>
        <v/>
      </c>
      <c r="I863" s="29"/>
    </row>
    <row r="864" spans="1:9" x14ac:dyDescent="0.4">
      <c r="A864" s="29">
        <v>863</v>
      </c>
      <c r="B864" s="29"/>
      <c r="C864" s="29"/>
      <c r="D864" s="30"/>
      <c r="E864" s="29"/>
      <c r="F864" s="31"/>
      <c r="G864" s="29" t="str">
        <f>IF('단어 시험장'!E864="❌","❌","")</f>
        <v/>
      </c>
      <c r="H864" s="35" t="str" cm="1">
        <f t="array" ref="H864">IF(B864="","",IF(COUNTIF($B$2:$B$501,B864)&gt;1,"No."&amp;_xlfn.TEXTJOIN(", ",TRUE,IF(($B$2:$B$501=B864)*(ROW($B$2:$B$501)&lt;&gt;ROW(B864)),""&amp;$A$2:$A$501,"")),""))</f>
        <v/>
      </c>
      <c r="I864" s="29"/>
    </row>
    <row r="865" spans="1:9" x14ac:dyDescent="0.4">
      <c r="A865" s="29">
        <v>864</v>
      </c>
      <c r="B865" s="29"/>
      <c r="C865" s="29"/>
      <c r="D865" s="30"/>
      <c r="E865" s="29"/>
      <c r="F865" s="31"/>
      <c r="G865" s="29" t="str">
        <f>IF('단어 시험장'!E865="❌","❌","")</f>
        <v/>
      </c>
      <c r="H865" s="35" t="str" cm="1">
        <f t="array" ref="H865">IF(B865="","",IF(COUNTIF($B$2:$B$501,B865)&gt;1,"No."&amp;_xlfn.TEXTJOIN(", ",TRUE,IF(($B$2:$B$501=B865)*(ROW($B$2:$B$501)&lt;&gt;ROW(B865)),""&amp;$A$2:$A$501,"")),""))</f>
        <v/>
      </c>
      <c r="I865" s="29"/>
    </row>
    <row r="866" spans="1:9" x14ac:dyDescent="0.4">
      <c r="A866" s="29">
        <v>865</v>
      </c>
      <c r="B866" s="29"/>
      <c r="C866" s="29"/>
      <c r="D866" s="30"/>
      <c r="E866" s="29"/>
      <c r="F866" s="31"/>
      <c r="G866" s="29" t="str">
        <f>IF('단어 시험장'!E866="❌","❌","")</f>
        <v/>
      </c>
      <c r="H866" s="35" t="str" cm="1">
        <f t="array" ref="H866">IF(B866="","",IF(COUNTIF($B$2:$B$501,B866)&gt;1,"No."&amp;_xlfn.TEXTJOIN(", ",TRUE,IF(($B$2:$B$501=B866)*(ROW($B$2:$B$501)&lt;&gt;ROW(B866)),""&amp;$A$2:$A$501,"")),""))</f>
        <v/>
      </c>
      <c r="I866" s="29"/>
    </row>
    <row r="867" spans="1:9" x14ac:dyDescent="0.4">
      <c r="A867" s="29">
        <v>866</v>
      </c>
      <c r="B867" s="29"/>
      <c r="C867" s="29"/>
      <c r="D867" s="30"/>
      <c r="E867" s="29"/>
      <c r="F867" s="31"/>
      <c r="G867" s="29" t="str">
        <f>IF('단어 시험장'!E867="❌","❌","")</f>
        <v/>
      </c>
      <c r="H867" s="35" t="str" cm="1">
        <f t="array" ref="H867">IF(B867="","",IF(COUNTIF($B$2:$B$501,B867)&gt;1,"No."&amp;_xlfn.TEXTJOIN(", ",TRUE,IF(($B$2:$B$501=B867)*(ROW($B$2:$B$501)&lt;&gt;ROW(B867)),""&amp;$A$2:$A$501,"")),""))</f>
        <v/>
      </c>
      <c r="I867" s="29"/>
    </row>
    <row r="868" spans="1:9" x14ac:dyDescent="0.4">
      <c r="A868" s="29">
        <v>867</v>
      </c>
      <c r="B868" s="29"/>
      <c r="C868" s="29"/>
      <c r="D868" s="30"/>
      <c r="E868" s="29"/>
      <c r="F868" s="31"/>
      <c r="G868" s="29" t="str">
        <f>IF('단어 시험장'!E868="❌","❌","")</f>
        <v/>
      </c>
      <c r="H868" s="35" t="str" cm="1">
        <f t="array" ref="H868">IF(B868="","",IF(COUNTIF($B$2:$B$501,B868)&gt;1,"No."&amp;_xlfn.TEXTJOIN(", ",TRUE,IF(($B$2:$B$501=B868)*(ROW($B$2:$B$501)&lt;&gt;ROW(B868)),""&amp;$A$2:$A$501,"")),""))</f>
        <v/>
      </c>
      <c r="I868" s="29"/>
    </row>
    <row r="869" spans="1:9" x14ac:dyDescent="0.4">
      <c r="A869" s="29">
        <v>868</v>
      </c>
      <c r="B869" s="29"/>
      <c r="C869" s="29"/>
      <c r="D869" s="30"/>
      <c r="E869" s="29"/>
      <c r="F869" s="31"/>
      <c r="G869" s="29" t="str">
        <f>IF('단어 시험장'!E869="❌","❌","")</f>
        <v/>
      </c>
      <c r="H869" s="35" t="str" cm="1">
        <f t="array" ref="H869">IF(B869="","",IF(COUNTIF($B$2:$B$501,B869)&gt;1,"No."&amp;_xlfn.TEXTJOIN(", ",TRUE,IF(($B$2:$B$501=B869)*(ROW($B$2:$B$501)&lt;&gt;ROW(B869)),""&amp;$A$2:$A$501,"")),""))</f>
        <v/>
      </c>
      <c r="I869" s="29"/>
    </row>
    <row r="870" spans="1:9" x14ac:dyDescent="0.4">
      <c r="A870" s="29">
        <v>869</v>
      </c>
      <c r="B870" s="29"/>
      <c r="C870" s="29"/>
      <c r="D870" s="30"/>
      <c r="E870" s="29"/>
      <c r="F870" s="31"/>
      <c r="G870" s="29" t="str">
        <f>IF('단어 시험장'!E870="❌","❌","")</f>
        <v/>
      </c>
      <c r="H870" s="35" t="str" cm="1">
        <f t="array" ref="H870">IF(B870="","",IF(COUNTIF($B$2:$B$501,B870)&gt;1,"No."&amp;_xlfn.TEXTJOIN(", ",TRUE,IF(($B$2:$B$501=B870)*(ROW($B$2:$B$501)&lt;&gt;ROW(B870)),""&amp;$A$2:$A$501,"")),""))</f>
        <v/>
      </c>
      <c r="I870" s="29"/>
    </row>
    <row r="871" spans="1:9" x14ac:dyDescent="0.4">
      <c r="A871" s="29">
        <v>870</v>
      </c>
      <c r="B871" s="29"/>
      <c r="C871" s="29"/>
      <c r="D871" s="30"/>
      <c r="E871" s="29"/>
      <c r="F871" s="31"/>
      <c r="G871" s="29" t="str">
        <f>IF('단어 시험장'!E871="❌","❌","")</f>
        <v/>
      </c>
      <c r="H871" s="35" t="str" cm="1">
        <f t="array" ref="H871">IF(B871="","",IF(COUNTIF($B$2:$B$501,B871)&gt;1,"No."&amp;_xlfn.TEXTJOIN(", ",TRUE,IF(($B$2:$B$501=B871)*(ROW($B$2:$B$501)&lt;&gt;ROW(B871)),""&amp;$A$2:$A$501,"")),""))</f>
        <v/>
      </c>
      <c r="I871" s="29"/>
    </row>
    <row r="872" spans="1:9" x14ac:dyDescent="0.4">
      <c r="A872" s="29">
        <v>871</v>
      </c>
      <c r="B872" s="29"/>
      <c r="C872" s="29"/>
      <c r="D872" s="30"/>
      <c r="E872" s="29"/>
      <c r="F872" s="31"/>
      <c r="G872" s="29" t="str">
        <f>IF('단어 시험장'!E872="❌","❌","")</f>
        <v/>
      </c>
      <c r="H872" s="35" t="str" cm="1">
        <f t="array" ref="H872">IF(B872="","",IF(COUNTIF($B$2:$B$501,B872)&gt;1,"No."&amp;_xlfn.TEXTJOIN(", ",TRUE,IF(($B$2:$B$501=B872)*(ROW($B$2:$B$501)&lt;&gt;ROW(B872)),""&amp;$A$2:$A$501,"")),""))</f>
        <v/>
      </c>
      <c r="I872" s="29"/>
    </row>
    <row r="873" spans="1:9" x14ac:dyDescent="0.4">
      <c r="A873" s="29">
        <v>872</v>
      </c>
      <c r="B873" s="29"/>
      <c r="C873" s="29"/>
      <c r="D873" s="30"/>
      <c r="E873" s="29"/>
      <c r="F873" s="31"/>
      <c r="G873" s="29" t="str">
        <f>IF('단어 시험장'!E873="❌","❌","")</f>
        <v/>
      </c>
      <c r="H873" s="35" t="str" cm="1">
        <f t="array" ref="H873">IF(B873="","",IF(COUNTIF($B$2:$B$501,B873)&gt;1,"No."&amp;_xlfn.TEXTJOIN(", ",TRUE,IF(($B$2:$B$501=B873)*(ROW($B$2:$B$501)&lt;&gt;ROW(B873)),""&amp;$A$2:$A$501,"")),""))</f>
        <v/>
      </c>
      <c r="I873" s="29"/>
    </row>
    <row r="874" spans="1:9" x14ac:dyDescent="0.4">
      <c r="A874" s="29">
        <v>873</v>
      </c>
      <c r="B874" s="29"/>
      <c r="C874" s="29"/>
      <c r="D874" s="30"/>
      <c r="E874" s="29"/>
      <c r="F874" s="31"/>
      <c r="G874" s="29" t="str">
        <f>IF('단어 시험장'!E874="❌","❌","")</f>
        <v/>
      </c>
      <c r="H874" s="35" t="str" cm="1">
        <f t="array" ref="H874">IF(B874="","",IF(COUNTIF($B$2:$B$501,B874)&gt;1,"No."&amp;_xlfn.TEXTJOIN(", ",TRUE,IF(($B$2:$B$501=B874)*(ROW($B$2:$B$501)&lt;&gt;ROW(B874)),""&amp;$A$2:$A$501,"")),""))</f>
        <v/>
      </c>
      <c r="I874" s="29"/>
    </row>
    <row r="875" spans="1:9" x14ac:dyDescent="0.4">
      <c r="A875" s="29">
        <v>874</v>
      </c>
      <c r="B875" s="29"/>
      <c r="C875" s="29"/>
      <c r="D875" s="30"/>
      <c r="E875" s="29"/>
      <c r="F875" s="31"/>
      <c r="G875" s="29" t="str">
        <f>IF('단어 시험장'!E875="❌","❌","")</f>
        <v/>
      </c>
      <c r="H875" s="35" t="str" cm="1">
        <f t="array" ref="H875">IF(B875="","",IF(COUNTIF($B$2:$B$501,B875)&gt;1,"No."&amp;_xlfn.TEXTJOIN(", ",TRUE,IF(($B$2:$B$501=B875)*(ROW($B$2:$B$501)&lt;&gt;ROW(B875)),""&amp;$A$2:$A$501,"")),""))</f>
        <v/>
      </c>
      <c r="I875" s="29"/>
    </row>
    <row r="876" spans="1:9" x14ac:dyDescent="0.4">
      <c r="A876" s="29">
        <v>875</v>
      </c>
      <c r="B876" s="29"/>
      <c r="C876" s="29"/>
      <c r="D876" s="30"/>
      <c r="E876" s="29"/>
      <c r="F876" s="31"/>
      <c r="G876" s="29" t="str">
        <f>IF('단어 시험장'!E876="❌","❌","")</f>
        <v/>
      </c>
      <c r="H876" s="35" t="str" cm="1">
        <f t="array" ref="H876">IF(B876="","",IF(COUNTIF($B$2:$B$501,B876)&gt;1,"No."&amp;_xlfn.TEXTJOIN(", ",TRUE,IF(($B$2:$B$501=B876)*(ROW($B$2:$B$501)&lt;&gt;ROW(B876)),""&amp;$A$2:$A$501,"")),""))</f>
        <v/>
      </c>
      <c r="I876" s="29"/>
    </row>
    <row r="877" spans="1:9" x14ac:dyDescent="0.4">
      <c r="A877" s="29">
        <v>876</v>
      </c>
      <c r="B877" s="29"/>
      <c r="C877" s="29"/>
      <c r="D877" s="30"/>
      <c r="E877" s="29"/>
      <c r="F877" s="31"/>
      <c r="G877" s="29" t="str">
        <f>IF('단어 시험장'!E877="❌","❌","")</f>
        <v/>
      </c>
      <c r="H877" s="35" t="str" cm="1">
        <f t="array" ref="H877">IF(B877="","",IF(COUNTIF($B$2:$B$501,B877)&gt;1,"No."&amp;_xlfn.TEXTJOIN(", ",TRUE,IF(($B$2:$B$501=B877)*(ROW($B$2:$B$501)&lt;&gt;ROW(B877)),""&amp;$A$2:$A$501,"")),""))</f>
        <v/>
      </c>
      <c r="I877" s="29"/>
    </row>
    <row r="878" spans="1:9" x14ac:dyDescent="0.4">
      <c r="A878" s="29">
        <v>877</v>
      </c>
      <c r="B878" s="29"/>
      <c r="C878" s="29"/>
      <c r="D878" s="30"/>
      <c r="E878" s="29"/>
      <c r="F878" s="31"/>
      <c r="G878" s="29" t="str">
        <f>IF('단어 시험장'!E878="❌","❌","")</f>
        <v/>
      </c>
      <c r="H878" s="35" t="str" cm="1">
        <f t="array" ref="H878">IF(B878="","",IF(COUNTIF($B$2:$B$501,B878)&gt;1,"No."&amp;_xlfn.TEXTJOIN(", ",TRUE,IF(($B$2:$B$501=B878)*(ROW($B$2:$B$501)&lt;&gt;ROW(B878)),""&amp;$A$2:$A$501,"")),""))</f>
        <v/>
      </c>
      <c r="I878" s="29"/>
    </row>
    <row r="879" spans="1:9" x14ac:dyDescent="0.4">
      <c r="A879" s="29">
        <v>878</v>
      </c>
      <c r="B879" s="29"/>
      <c r="C879" s="29"/>
      <c r="D879" s="30"/>
      <c r="E879" s="29"/>
      <c r="F879" s="31"/>
      <c r="G879" s="29" t="str">
        <f>IF('단어 시험장'!E879="❌","❌","")</f>
        <v/>
      </c>
      <c r="H879" s="35" t="str" cm="1">
        <f t="array" ref="H879">IF(B879="","",IF(COUNTIF($B$2:$B$501,B879)&gt;1,"No."&amp;_xlfn.TEXTJOIN(", ",TRUE,IF(($B$2:$B$501=B879)*(ROW($B$2:$B$501)&lt;&gt;ROW(B879)),""&amp;$A$2:$A$501,"")),""))</f>
        <v/>
      </c>
      <c r="I879" s="29"/>
    </row>
    <row r="880" spans="1:9" x14ac:dyDescent="0.4">
      <c r="A880" s="29">
        <v>879</v>
      </c>
      <c r="B880" s="29"/>
      <c r="C880" s="29"/>
      <c r="D880" s="30"/>
      <c r="E880" s="29"/>
      <c r="F880" s="31"/>
      <c r="G880" s="29" t="str">
        <f>IF('단어 시험장'!E880="❌","❌","")</f>
        <v/>
      </c>
      <c r="H880" s="35" t="str" cm="1">
        <f t="array" ref="H880">IF(B880="","",IF(COUNTIF($B$2:$B$501,B880)&gt;1,"No."&amp;_xlfn.TEXTJOIN(", ",TRUE,IF(($B$2:$B$501=B880)*(ROW($B$2:$B$501)&lt;&gt;ROW(B880)),""&amp;$A$2:$A$501,"")),""))</f>
        <v/>
      </c>
      <c r="I880" s="29"/>
    </row>
    <row r="881" spans="1:9" x14ac:dyDescent="0.4">
      <c r="A881" s="29">
        <v>880</v>
      </c>
      <c r="B881" s="29"/>
      <c r="C881" s="29"/>
      <c r="D881" s="30"/>
      <c r="E881" s="29"/>
      <c r="F881" s="31"/>
      <c r="G881" s="29" t="str">
        <f>IF('단어 시험장'!E881="❌","❌","")</f>
        <v/>
      </c>
      <c r="H881" s="35" t="str" cm="1">
        <f t="array" ref="H881">IF(B881="","",IF(COUNTIF($B$2:$B$501,B881)&gt;1,"No."&amp;_xlfn.TEXTJOIN(", ",TRUE,IF(($B$2:$B$501=B881)*(ROW($B$2:$B$501)&lt;&gt;ROW(B881)),""&amp;$A$2:$A$501,"")),""))</f>
        <v/>
      </c>
      <c r="I881" s="29"/>
    </row>
    <row r="882" spans="1:9" x14ac:dyDescent="0.4">
      <c r="A882" s="29">
        <v>881</v>
      </c>
      <c r="B882" s="29"/>
      <c r="C882" s="29"/>
      <c r="D882" s="30"/>
      <c r="E882" s="29"/>
      <c r="F882" s="31"/>
      <c r="G882" s="29" t="str">
        <f>IF('단어 시험장'!E882="❌","❌","")</f>
        <v/>
      </c>
      <c r="H882" s="35" t="str" cm="1">
        <f t="array" ref="H882">IF(B882="","",IF(COUNTIF($B$2:$B$501,B882)&gt;1,"No."&amp;_xlfn.TEXTJOIN(", ",TRUE,IF(($B$2:$B$501=B882)*(ROW($B$2:$B$501)&lt;&gt;ROW(B882)),""&amp;$A$2:$A$501,"")),""))</f>
        <v/>
      </c>
      <c r="I882" s="29"/>
    </row>
    <row r="883" spans="1:9" x14ac:dyDescent="0.4">
      <c r="A883" s="29">
        <v>882</v>
      </c>
      <c r="B883" s="29"/>
      <c r="C883" s="29"/>
      <c r="D883" s="30"/>
      <c r="E883" s="29"/>
      <c r="F883" s="31"/>
      <c r="G883" s="29" t="str">
        <f>IF('단어 시험장'!E883="❌","❌","")</f>
        <v/>
      </c>
      <c r="H883" s="35" t="str" cm="1">
        <f t="array" ref="H883">IF(B883="","",IF(COUNTIF($B$2:$B$501,B883)&gt;1,"No."&amp;_xlfn.TEXTJOIN(", ",TRUE,IF(($B$2:$B$501=B883)*(ROW($B$2:$B$501)&lt;&gt;ROW(B883)),""&amp;$A$2:$A$501,"")),""))</f>
        <v/>
      </c>
      <c r="I883" s="29"/>
    </row>
    <row r="884" spans="1:9" x14ac:dyDescent="0.4">
      <c r="A884" s="29">
        <v>883</v>
      </c>
      <c r="B884" s="29"/>
      <c r="C884" s="29"/>
      <c r="D884" s="30"/>
      <c r="E884" s="29"/>
      <c r="F884" s="31"/>
      <c r="G884" s="29" t="str">
        <f>IF('단어 시험장'!E884="❌","❌","")</f>
        <v/>
      </c>
      <c r="H884" s="35" t="str" cm="1">
        <f t="array" ref="H884">IF(B884="","",IF(COUNTIF($B$2:$B$501,B884)&gt;1,"No."&amp;_xlfn.TEXTJOIN(", ",TRUE,IF(($B$2:$B$501=B884)*(ROW($B$2:$B$501)&lt;&gt;ROW(B884)),""&amp;$A$2:$A$501,"")),""))</f>
        <v/>
      </c>
      <c r="I884" s="29"/>
    </row>
    <row r="885" spans="1:9" x14ac:dyDescent="0.4">
      <c r="A885" s="29">
        <v>884</v>
      </c>
      <c r="B885" s="29"/>
      <c r="C885" s="29"/>
      <c r="D885" s="30"/>
      <c r="E885" s="29"/>
      <c r="F885" s="31"/>
      <c r="G885" s="29" t="str">
        <f>IF('단어 시험장'!E885="❌","❌","")</f>
        <v/>
      </c>
      <c r="H885" s="35" t="str" cm="1">
        <f t="array" ref="H885">IF(B885="","",IF(COUNTIF($B$2:$B$501,B885)&gt;1,"No."&amp;_xlfn.TEXTJOIN(", ",TRUE,IF(($B$2:$B$501=B885)*(ROW($B$2:$B$501)&lt;&gt;ROW(B885)),""&amp;$A$2:$A$501,"")),""))</f>
        <v/>
      </c>
      <c r="I885" s="29"/>
    </row>
    <row r="886" spans="1:9" x14ac:dyDescent="0.4">
      <c r="A886" s="29">
        <v>885</v>
      </c>
      <c r="B886" s="29"/>
      <c r="C886" s="29"/>
      <c r="D886" s="30"/>
      <c r="E886" s="29"/>
      <c r="F886" s="31"/>
      <c r="G886" s="29" t="str">
        <f>IF('단어 시험장'!E886="❌","❌","")</f>
        <v/>
      </c>
      <c r="H886" s="35" t="str" cm="1">
        <f t="array" ref="H886">IF(B886="","",IF(COUNTIF($B$2:$B$501,B886)&gt;1,"No."&amp;_xlfn.TEXTJOIN(", ",TRUE,IF(($B$2:$B$501=B886)*(ROW($B$2:$B$501)&lt;&gt;ROW(B886)),""&amp;$A$2:$A$501,"")),""))</f>
        <v/>
      </c>
      <c r="I886" s="29"/>
    </row>
    <row r="887" spans="1:9" x14ac:dyDescent="0.4">
      <c r="A887" s="29">
        <v>886</v>
      </c>
      <c r="B887" s="29"/>
      <c r="C887" s="29"/>
      <c r="D887" s="30"/>
      <c r="E887" s="29"/>
      <c r="F887" s="31"/>
      <c r="G887" s="29" t="str">
        <f>IF('단어 시험장'!E887="❌","❌","")</f>
        <v/>
      </c>
      <c r="H887" s="35" t="str" cm="1">
        <f t="array" ref="H887">IF(B887="","",IF(COUNTIF($B$2:$B$501,B887)&gt;1,"No."&amp;_xlfn.TEXTJOIN(", ",TRUE,IF(($B$2:$B$501=B887)*(ROW($B$2:$B$501)&lt;&gt;ROW(B887)),""&amp;$A$2:$A$501,"")),""))</f>
        <v/>
      </c>
      <c r="I887" s="29"/>
    </row>
    <row r="888" spans="1:9" x14ac:dyDescent="0.4">
      <c r="A888" s="29">
        <v>887</v>
      </c>
      <c r="B888" s="29"/>
      <c r="C888" s="29"/>
      <c r="D888" s="30"/>
      <c r="E888" s="29"/>
      <c r="F888" s="31"/>
      <c r="G888" s="29" t="str">
        <f>IF('단어 시험장'!E888="❌","❌","")</f>
        <v/>
      </c>
      <c r="H888" s="35" t="str" cm="1">
        <f t="array" ref="H888">IF(B888="","",IF(COUNTIF($B$2:$B$501,B888)&gt;1,"No."&amp;_xlfn.TEXTJOIN(", ",TRUE,IF(($B$2:$B$501=B888)*(ROW($B$2:$B$501)&lt;&gt;ROW(B888)),""&amp;$A$2:$A$501,"")),""))</f>
        <v/>
      </c>
      <c r="I888" s="29"/>
    </row>
    <row r="889" spans="1:9" x14ac:dyDescent="0.4">
      <c r="A889" s="29">
        <v>888</v>
      </c>
      <c r="B889" s="29"/>
      <c r="C889" s="29"/>
      <c r="D889" s="30"/>
      <c r="E889" s="29"/>
      <c r="F889" s="31"/>
      <c r="G889" s="29" t="str">
        <f>IF('단어 시험장'!E889="❌","❌","")</f>
        <v/>
      </c>
      <c r="H889" s="35" t="str" cm="1">
        <f t="array" ref="H889">IF(B889="","",IF(COUNTIF($B$2:$B$501,B889)&gt;1,"No."&amp;_xlfn.TEXTJOIN(", ",TRUE,IF(($B$2:$B$501=B889)*(ROW($B$2:$B$501)&lt;&gt;ROW(B889)),""&amp;$A$2:$A$501,"")),""))</f>
        <v/>
      </c>
      <c r="I889" s="29"/>
    </row>
    <row r="890" spans="1:9" x14ac:dyDescent="0.4">
      <c r="A890" s="29">
        <v>889</v>
      </c>
      <c r="B890" s="29"/>
      <c r="C890" s="29"/>
      <c r="D890" s="30"/>
      <c r="E890" s="29"/>
      <c r="F890" s="31"/>
      <c r="G890" s="29" t="str">
        <f>IF('단어 시험장'!E890="❌","❌","")</f>
        <v/>
      </c>
      <c r="H890" s="35" t="str" cm="1">
        <f t="array" ref="H890">IF(B890="","",IF(COUNTIF($B$2:$B$501,B890)&gt;1,"No."&amp;_xlfn.TEXTJOIN(", ",TRUE,IF(($B$2:$B$501=B890)*(ROW($B$2:$B$501)&lt;&gt;ROW(B890)),""&amp;$A$2:$A$501,"")),""))</f>
        <v/>
      </c>
      <c r="I890" s="29"/>
    </row>
    <row r="891" spans="1:9" x14ac:dyDescent="0.4">
      <c r="A891" s="29">
        <v>890</v>
      </c>
      <c r="B891" s="29"/>
      <c r="C891" s="29"/>
      <c r="D891" s="30"/>
      <c r="E891" s="29"/>
      <c r="F891" s="31"/>
      <c r="G891" s="29" t="str">
        <f>IF('단어 시험장'!E891="❌","❌","")</f>
        <v/>
      </c>
      <c r="H891" s="35" t="str" cm="1">
        <f t="array" ref="H891">IF(B891="","",IF(COUNTIF($B$2:$B$501,B891)&gt;1,"No."&amp;_xlfn.TEXTJOIN(", ",TRUE,IF(($B$2:$B$501=B891)*(ROW($B$2:$B$501)&lt;&gt;ROW(B891)),""&amp;$A$2:$A$501,"")),""))</f>
        <v/>
      </c>
      <c r="I891" s="29"/>
    </row>
    <row r="892" spans="1:9" x14ac:dyDescent="0.4">
      <c r="A892" s="29">
        <v>891</v>
      </c>
      <c r="B892" s="29"/>
      <c r="C892" s="29"/>
      <c r="D892" s="30"/>
      <c r="E892" s="29"/>
      <c r="F892" s="31"/>
      <c r="G892" s="29" t="str">
        <f>IF('단어 시험장'!E892="❌","❌","")</f>
        <v/>
      </c>
      <c r="H892" s="35" t="str" cm="1">
        <f t="array" ref="H892">IF(B892="","",IF(COUNTIF($B$2:$B$501,B892)&gt;1,"No."&amp;_xlfn.TEXTJOIN(", ",TRUE,IF(($B$2:$B$501=B892)*(ROW($B$2:$B$501)&lt;&gt;ROW(B892)),""&amp;$A$2:$A$501,"")),""))</f>
        <v/>
      </c>
      <c r="I892" s="29"/>
    </row>
    <row r="893" spans="1:9" x14ac:dyDescent="0.4">
      <c r="A893" s="29">
        <v>892</v>
      </c>
      <c r="B893" s="29"/>
      <c r="C893" s="29"/>
      <c r="D893" s="30"/>
      <c r="E893" s="29"/>
      <c r="F893" s="31"/>
      <c r="G893" s="29" t="str">
        <f>IF('단어 시험장'!E893="❌","❌","")</f>
        <v/>
      </c>
      <c r="H893" s="35" t="str" cm="1">
        <f t="array" ref="H893">IF(B893="","",IF(COUNTIF($B$2:$B$501,B893)&gt;1,"No."&amp;_xlfn.TEXTJOIN(", ",TRUE,IF(($B$2:$B$501=B893)*(ROW($B$2:$B$501)&lt;&gt;ROW(B893)),""&amp;$A$2:$A$501,"")),""))</f>
        <v/>
      </c>
      <c r="I893" s="29"/>
    </row>
    <row r="894" spans="1:9" x14ac:dyDescent="0.4">
      <c r="A894" s="29">
        <v>893</v>
      </c>
      <c r="B894" s="29"/>
      <c r="C894" s="29"/>
      <c r="D894" s="30"/>
      <c r="E894" s="29"/>
      <c r="F894" s="31"/>
      <c r="G894" s="29" t="str">
        <f>IF('단어 시험장'!E894="❌","❌","")</f>
        <v/>
      </c>
      <c r="H894" s="35" t="str" cm="1">
        <f t="array" ref="H894">IF(B894="","",IF(COUNTIF($B$2:$B$501,B894)&gt;1,"No."&amp;_xlfn.TEXTJOIN(", ",TRUE,IF(($B$2:$B$501=B894)*(ROW($B$2:$B$501)&lt;&gt;ROW(B894)),""&amp;$A$2:$A$501,"")),""))</f>
        <v/>
      </c>
      <c r="I894" s="29"/>
    </row>
    <row r="895" spans="1:9" x14ac:dyDescent="0.4">
      <c r="A895" s="29">
        <v>894</v>
      </c>
      <c r="B895" s="29"/>
      <c r="C895" s="29"/>
      <c r="D895" s="30"/>
      <c r="E895" s="29"/>
      <c r="F895" s="31"/>
      <c r="G895" s="29" t="str">
        <f>IF('단어 시험장'!E895="❌","❌","")</f>
        <v/>
      </c>
      <c r="H895" s="35" t="str" cm="1">
        <f t="array" ref="H895">IF(B895="","",IF(COUNTIF($B$2:$B$501,B895)&gt;1,"No."&amp;_xlfn.TEXTJOIN(", ",TRUE,IF(($B$2:$B$501=B895)*(ROW($B$2:$B$501)&lt;&gt;ROW(B895)),""&amp;$A$2:$A$501,"")),""))</f>
        <v/>
      </c>
      <c r="I895" s="29"/>
    </row>
    <row r="896" spans="1:9" x14ac:dyDescent="0.4">
      <c r="A896" s="29">
        <v>895</v>
      </c>
      <c r="B896" s="29"/>
      <c r="C896" s="29"/>
      <c r="D896" s="30"/>
      <c r="E896" s="29"/>
      <c r="F896" s="31"/>
      <c r="G896" s="29" t="str">
        <f>IF('단어 시험장'!E896="❌","❌","")</f>
        <v/>
      </c>
      <c r="H896" s="35" t="str" cm="1">
        <f t="array" ref="H896">IF(B896="","",IF(COUNTIF($B$2:$B$501,B896)&gt;1,"No."&amp;_xlfn.TEXTJOIN(", ",TRUE,IF(($B$2:$B$501=B896)*(ROW($B$2:$B$501)&lt;&gt;ROW(B896)),""&amp;$A$2:$A$501,"")),""))</f>
        <v/>
      </c>
      <c r="I896" s="29"/>
    </row>
    <row r="897" spans="1:9" x14ac:dyDescent="0.4">
      <c r="A897" s="29">
        <v>896</v>
      </c>
      <c r="B897" s="29"/>
      <c r="C897" s="29"/>
      <c r="D897" s="30"/>
      <c r="E897" s="29"/>
      <c r="F897" s="31"/>
      <c r="G897" s="29" t="str">
        <f>IF('단어 시험장'!E897="❌","❌","")</f>
        <v/>
      </c>
      <c r="H897" s="35" t="str" cm="1">
        <f t="array" ref="H897">IF(B897="","",IF(COUNTIF($B$2:$B$501,B897)&gt;1,"No."&amp;_xlfn.TEXTJOIN(", ",TRUE,IF(($B$2:$B$501=B897)*(ROW($B$2:$B$501)&lt;&gt;ROW(B897)),""&amp;$A$2:$A$501,"")),""))</f>
        <v/>
      </c>
      <c r="I897" s="29"/>
    </row>
    <row r="898" spans="1:9" x14ac:dyDescent="0.4">
      <c r="A898" s="29">
        <v>897</v>
      </c>
      <c r="B898" s="29"/>
      <c r="C898" s="29"/>
      <c r="D898" s="30"/>
      <c r="E898" s="29"/>
      <c r="F898" s="31"/>
      <c r="G898" s="29" t="str">
        <f>IF('단어 시험장'!E898="❌","❌","")</f>
        <v/>
      </c>
      <c r="H898" s="35" t="str" cm="1">
        <f t="array" ref="H898">IF(B898="","",IF(COUNTIF($B$2:$B$501,B898)&gt;1,"No."&amp;_xlfn.TEXTJOIN(", ",TRUE,IF(($B$2:$B$501=B898)*(ROW($B$2:$B$501)&lt;&gt;ROW(B898)),""&amp;$A$2:$A$501,"")),""))</f>
        <v/>
      </c>
      <c r="I898" s="29"/>
    </row>
    <row r="899" spans="1:9" x14ac:dyDescent="0.4">
      <c r="A899" s="29">
        <v>898</v>
      </c>
      <c r="B899" s="29"/>
      <c r="C899" s="29"/>
      <c r="D899" s="30"/>
      <c r="E899" s="29"/>
      <c r="F899" s="31"/>
      <c r="G899" s="29" t="str">
        <f>IF('단어 시험장'!E899="❌","❌","")</f>
        <v/>
      </c>
      <c r="H899" s="35" t="str" cm="1">
        <f t="array" ref="H899">IF(B899="","",IF(COUNTIF($B$2:$B$501,B899)&gt;1,"No."&amp;_xlfn.TEXTJOIN(", ",TRUE,IF(($B$2:$B$501=B899)*(ROW($B$2:$B$501)&lt;&gt;ROW(B899)),""&amp;$A$2:$A$501,"")),""))</f>
        <v/>
      </c>
      <c r="I899" s="29"/>
    </row>
    <row r="900" spans="1:9" x14ac:dyDescent="0.4">
      <c r="A900" s="29">
        <v>899</v>
      </c>
      <c r="B900" s="29"/>
      <c r="C900" s="29"/>
      <c r="D900" s="30"/>
      <c r="E900" s="29"/>
      <c r="F900" s="31"/>
      <c r="G900" s="29" t="str">
        <f>IF('단어 시험장'!E900="❌","❌","")</f>
        <v/>
      </c>
      <c r="H900" s="35" t="str" cm="1">
        <f t="array" ref="H900">IF(B900="","",IF(COUNTIF($B$2:$B$501,B900)&gt;1,"No."&amp;_xlfn.TEXTJOIN(", ",TRUE,IF(($B$2:$B$501=B900)*(ROW($B$2:$B$501)&lt;&gt;ROW(B900)),""&amp;$A$2:$A$501,"")),""))</f>
        <v/>
      </c>
      <c r="I900" s="29"/>
    </row>
    <row r="901" spans="1:9" x14ac:dyDescent="0.4">
      <c r="A901" s="29">
        <v>900</v>
      </c>
      <c r="B901" s="29"/>
      <c r="C901" s="29"/>
      <c r="D901" s="30"/>
      <c r="E901" s="29"/>
      <c r="F901" s="31"/>
      <c r="G901" s="29" t="str">
        <f>IF('단어 시험장'!E901="❌","❌","")</f>
        <v/>
      </c>
      <c r="H901" s="35" t="str" cm="1">
        <f t="array" ref="H901">IF(B901="","",IF(COUNTIF($B$2:$B$501,B901)&gt;1,"No."&amp;_xlfn.TEXTJOIN(", ",TRUE,IF(($B$2:$B$501=B901)*(ROW($B$2:$B$501)&lt;&gt;ROW(B901)),""&amp;$A$2:$A$501,"")),""))</f>
        <v/>
      </c>
      <c r="I901" s="29"/>
    </row>
    <row r="902" spans="1:9" x14ac:dyDescent="0.4">
      <c r="A902" s="29">
        <v>901</v>
      </c>
      <c r="B902" s="29"/>
      <c r="C902" s="29"/>
      <c r="D902" s="30"/>
      <c r="E902" s="29"/>
      <c r="F902" s="31"/>
      <c r="G902" s="29" t="str">
        <f>IF('단어 시험장'!E902="❌","❌","")</f>
        <v/>
      </c>
      <c r="H902" s="35" t="str" cm="1">
        <f t="array" ref="H902">IF(B902="","",IF(COUNTIF($B$2:$B$501,B902)&gt;1,"No."&amp;_xlfn.TEXTJOIN(", ",TRUE,IF(($B$2:$B$501=B902)*(ROW($B$2:$B$501)&lt;&gt;ROW(B902)),""&amp;$A$2:$A$501,"")),""))</f>
        <v/>
      </c>
      <c r="I902" s="29"/>
    </row>
    <row r="903" spans="1:9" x14ac:dyDescent="0.4">
      <c r="A903" s="29">
        <v>902</v>
      </c>
      <c r="B903" s="29"/>
      <c r="C903" s="29"/>
      <c r="D903" s="30"/>
      <c r="E903" s="29"/>
      <c r="F903" s="31"/>
      <c r="G903" s="29" t="str">
        <f>IF('단어 시험장'!E903="❌","❌","")</f>
        <v/>
      </c>
      <c r="H903" s="35" t="str" cm="1">
        <f t="array" ref="H903">IF(B903="","",IF(COUNTIF($B$2:$B$501,B903)&gt;1,"No."&amp;_xlfn.TEXTJOIN(", ",TRUE,IF(($B$2:$B$501=B903)*(ROW($B$2:$B$501)&lt;&gt;ROW(B903)),""&amp;$A$2:$A$501,"")),""))</f>
        <v/>
      </c>
      <c r="I903" s="29"/>
    </row>
    <row r="904" spans="1:9" x14ac:dyDescent="0.4">
      <c r="A904" s="29">
        <v>903</v>
      </c>
      <c r="B904" s="29"/>
      <c r="C904" s="29"/>
      <c r="D904" s="30"/>
      <c r="E904" s="29"/>
      <c r="F904" s="31"/>
      <c r="G904" s="29" t="str">
        <f>IF('단어 시험장'!E904="❌","❌","")</f>
        <v/>
      </c>
      <c r="H904" s="35" t="str" cm="1">
        <f t="array" ref="H904">IF(B904="","",IF(COUNTIF($B$2:$B$501,B904)&gt;1,"No."&amp;_xlfn.TEXTJOIN(", ",TRUE,IF(($B$2:$B$501=B904)*(ROW($B$2:$B$501)&lt;&gt;ROW(B904)),""&amp;$A$2:$A$501,"")),""))</f>
        <v/>
      </c>
      <c r="I904" s="29"/>
    </row>
    <row r="905" spans="1:9" x14ac:dyDescent="0.4">
      <c r="A905" s="29">
        <v>904</v>
      </c>
      <c r="B905" s="29"/>
      <c r="C905" s="29"/>
      <c r="D905" s="30"/>
      <c r="E905" s="29"/>
      <c r="F905" s="31"/>
      <c r="G905" s="29" t="str">
        <f>IF('단어 시험장'!E905="❌","❌","")</f>
        <v/>
      </c>
      <c r="H905" s="35" t="str" cm="1">
        <f t="array" ref="H905">IF(B905="","",IF(COUNTIF($B$2:$B$501,B905)&gt;1,"No."&amp;_xlfn.TEXTJOIN(", ",TRUE,IF(($B$2:$B$501=B905)*(ROW($B$2:$B$501)&lt;&gt;ROW(B905)),""&amp;$A$2:$A$501,"")),""))</f>
        <v/>
      </c>
      <c r="I905" s="29"/>
    </row>
    <row r="906" spans="1:9" x14ac:dyDescent="0.4">
      <c r="A906" s="29">
        <v>905</v>
      </c>
      <c r="B906" s="29"/>
      <c r="C906" s="29"/>
      <c r="D906" s="30"/>
      <c r="E906" s="29"/>
      <c r="F906" s="31"/>
      <c r="G906" s="29" t="str">
        <f>IF('단어 시험장'!E906="❌","❌","")</f>
        <v/>
      </c>
      <c r="H906" s="35" t="str" cm="1">
        <f t="array" ref="H906">IF(B906="","",IF(COUNTIF($B$2:$B$501,B906)&gt;1,"No."&amp;_xlfn.TEXTJOIN(", ",TRUE,IF(($B$2:$B$501=B906)*(ROW($B$2:$B$501)&lt;&gt;ROW(B906)),""&amp;$A$2:$A$501,"")),""))</f>
        <v/>
      </c>
      <c r="I906" s="29"/>
    </row>
    <row r="907" spans="1:9" x14ac:dyDescent="0.4">
      <c r="A907" s="29">
        <v>906</v>
      </c>
      <c r="B907" s="29"/>
      <c r="C907" s="29"/>
      <c r="D907" s="30"/>
      <c r="E907" s="29"/>
      <c r="F907" s="31"/>
      <c r="G907" s="29" t="str">
        <f>IF('단어 시험장'!E907="❌","❌","")</f>
        <v/>
      </c>
      <c r="H907" s="35" t="str" cm="1">
        <f t="array" ref="H907">IF(B907="","",IF(COUNTIF($B$2:$B$501,B907)&gt;1,"No."&amp;_xlfn.TEXTJOIN(", ",TRUE,IF(($B$2:$B$501=B907)*(ROW($B$2:$B$501)&lt;&gt;ROW(B907)),""&amp;$A$2:$A$501,"")),""))</f>
        <v/>
      </c>
      <c r="I907" s="29"/>
    </row>
    <row r="908" spans="1:9" x14ac:dyDescent="0.4">
      <c r="A908" s="29">
        <v>907</v>
      </c>
      <c r="B908" s="29"/>
      <c r="C908" s="29"/>
      <c r="D908" s="30"/>
      <c r="E908" s="29"/>
      <c r="F908" s="31"/>
      <c r="G908" s="29" t="str">
        <f>IF('단어 시험장'!E908="❌","❌","")</f>
        <v/>
      </c>
      <c r="H908" s="35" t="str" cm="1">
        <f t="array" ref="H908">IF(B908="","",IF(COUNTIF($B$2:$B$501,B908)&gt;1,"No."&amp;_xlfn.TEXTJOIN(", ",TRUE,IF(($B$2:$B$501=B908)*(ROW($B$2:$B$501)&lt;&gt;ROW(B908)),""&amp;$A$2:$A$501,"")),""))</f>
        <v/>
      </c>
      <c r="I908" s="29"/>
    </row>
    <row r="909" spans="1:9" x14ac:dyDescent="0.4">
      <c r="A909" s="29">
        <v>908</v>
      </c>
      <c r="B909" s="29"/>
      <c r="C909" s="29"/>
      <c r="D909" s="30"/>
      <c r="E909" s="29"/>
      <c r="F909" s="31"/>
      <c r="G909" s="29" t="str">
        <f>IF('단어 시험장'!E909="❌","❌","")</f>
        <v/>
      </c>
      <c r="H909" s="35" t="str" cm="1">
        <f t="array" ref="H909">IF(B909="","",IF(COUNTIF($B$2:$B$501,B909)&gt;1,"No."&amp;_xlfn.TEXTJOIN(", ",TRUE,IF(($B$2:$B$501=B909)*(ROW($B$2:$B$501)&lt;&gt;ROW(B909)),""&amp;$A$2:$A$501,"")),""))</f>
        <v/>
      </c>
      <c r="I909" s="29"/>
    </row>
    <row r="910" spans="1:9" x14ac:dyDescent="0.4">
      <c r="A910" s="29">
        <v>909</v>
      </c>
      <c r="B910" s="29"/>
      <c r="C910" s="29"/>
      <c r="D910" s="30"/>
      <c r="E910" s="29"/>
      <c r="F910" s="31"/>
      <c r="G910" s="29" t="str">
        <f>IF('단어 시험장'!E910="❌","❌","")</f>
        <v/>
      </c>
      <c r="H910" s="35" t="str" cm="1">
        <f t="array" ref="H910">IF(B910="","",IF(COUNTIF($B$2:$B$501,B910)&gt;1,"No."&amp;_xlfn.TEXTJOIN(", ",TRUE,IF(($B$2:$B$501=B910)*(ROW($B$2:$B$501)&lt;&gt;ROW(B910)),""&amp;$A$2:$A$501,"")),""))</f>
        <v/>
      </c>
      <c r="I910" s="29"/>
    </row>
    <row r="911" spans="1:9" x14ac:dyDescent="0.4">
      <c r="A911" s="29">
        <v>910</v>
      </c>
      <c r="B911" s="29"/>
      <c r="C911" s="29"/>
      <c r="D911" s="30"/>
      <c r="E911" s="29"/>
      <c r="F911" s="31"/>
      <c r="G911" s="29" t="str">
        <f>IF('단어 시험장'!E911="❌","❌","")</f>
        <v/>
      </c>
      <c r="H911" s="35" t="str" cm="1">
        <f t="array" ref="H911">IF(B911="","",IF(COUNTIF($B$2:$B$501,B911)&gt;1,"No."&amp;_xlfn.TEXTJOIN(", ",TRUE,IF(($B$2:$B$501=B911)*(ROW($B$2:$B$501)&lt;&gt;ROW(B911)),""&amp;$A$2:$A$501,"")),""))</f>
        <v/>
      </c>
      <c r="I911" s="29"/>
    </row>
    <row r="912" spans="1:9" x14ac:dyDescent="0.4">
      <c r="A912" s="29">
        <v>911</v>
      </c>
      <c r="B912" s="29"/>
      <c r="C912" s="29"/>
      <c r="D912" s="30"/>
      <c r="E912" s="29"/>
      <c r="F912" s="31"/>
      <c r="G912" s="29" t="str">
        <f>IF('단어 시험장'!E912="❌","❌","")</f>
        <v/>
      </c>
      <c r="H912" s="35" t="str" cm="1">
        <f t="array" ref="H912">IF(B912="","",IF(COUNTIF($B$2:$B$501,B912)&gt;1,"No."&amp;_xlfn.TEXTJOIN(", ",TRUE,IF(($B$2:$B$501=B912)*(ROW($B$2:$B$501)&lt;&gt;ROW(B912)),""&amp;$A$2:$A$501,"")),""))</f>
        <v/>
      </c>
      <c r="I912" s="29"/>
    </row>
    <row r="913" spans="1:9" x14ac:dyDescent="0.4">
      <c r="A913" s="29">
        <v>912</v>
      </c>
      <c r="B913" s="29"/>
      <c r="C913" s="29"/>
      <c r="D913" s="30"/>
      <c r="E913" s="29"/>
      <c r="F913" s="31"/>
      <c r="G913" s="29" t="str">
        <f>IF('단어 시험장'!E913="❌","❌","")</f>
        <v/>
      </c>
      <c r="H913" s="35" t="str" cm="1">
        <f t="array" ref="H913">IF(B913="","",IF(COUNTIF($B$2:$B$501,B913)&gt;1,"No."&amp;_xlfn.TEXTJOIN(", ",TRUE,IF(($B$2:$B$501=B913)*(ROW($B$2:$B$501)&lt;&gt;ROW(B913)),""&amp;$A$2:$A$501,"")),""))</f>
        <v/>
      </c>
      <c r="I913" s="29"/>
    </row>
    <row r="914" spans="1:9" x14ac:dyDescent="0.4">
      <c r="A914" s="29">
        <v>913</v>
      </c>
      <c r="B914" s="29"/>
      <c r="C914" s="29"/>
      <c r="D914" s="30"/>
      <c r="E914" s="29"/>
      <c r="F914" s="31"/>
      <c r="G914" s="29" t="str">
        <f>IF('단어 시험장'!E914="❌","❌","")</f>
        <v/>
      </c>
      <c r="H914" s="35" t="str" cm="1">
        <f t="array" ref="H914">IF(B914="","",IF(COUNTIF($B$2:$B$501,B914)&gt;1,"No."&amp;_xlfn.TEXTJOIN(", ",TRUE,IF(($B$2:$B$501=B914)*(ROW($B$2:$B$501)&lt;&gt;ROW(B914)),""&amp;$A$2:$A$501,"")),""))</f>
        <v/>
      </c>
      <c r="I914" s="29"/>
    </row>
    <row r="915" spans="1:9" x14ac:dyDescent="0.4">
      <c r="A915" s="29">
        <v>914</v>
      </c>
      <c r="B915" s="29"/>
      <c r="C915" s="29"/>
      <c r="D915" s="30"/>
      <c r="E915" s="29"/>
      <c r="F915" s="31"/>
      <c r="G915" s="29" t="str">
        <f>IF('단어 시험장'!E915="❌","❌","")</f>
        <v/>
      </c>
      <c r="H915" s="35" t="str" cm="1">
        <f t="array" ref="H915">IF(B915="","",IF(COUNTIF($B$2:$B$501,B915)&gt;1,"No."&amp;_xlfn.TEXTJOIN(", ",TRUE,IF(($B$2:$B$501=B915)*(ROW($B$2:$B$501)&lt;&gt;ROW(B915)),""&amp;$A$2:$A$501,"")),""))</f>
        <v/>
      </c>
      <c r="I915" s="29"/>
    </row>
    <row r="916" spans="1:9" x14ac:dyDescent="0.4">
      <c r="A916" s="29">
        <v>915</v>
      </c>
      <c r="B916" s="29"/>
      <c r="C916" s="29"/>
      <c r="D916" s="30"/>
      <c r="E916" s="29"/>
      <c r="F916" s="31"/>
      <c r="G916" s="29" t="str">
        <f>IF('단어 시험장'!E916="❌","❌","")</f>
        <v/>
      </c>
      <c r="H916" s="35" t="str" cm="1">
        <f t="array" ref="H916">IF(B916="","",IF(COUNTIF($B$2:$B$501,B916)&gt;1,"No."&amp;_xlfn.TEXTJOIN(", ",TRUE,IF(($B$2:$B$501=B916)*(ROW($B$2:$B$501)&lt;&gt;ROW(B916)),""&amp;$A$2:$A$501,"")),""))</f>
        <v/>
      </c>
      <c r="I916" s="29"/>
    </row>
    <row r="917" spans="1:9" x14ac:dyDescent="0.4">
      <c r="A917" s="29">
        <v>916</v>
      </c>
      <c r="B917" s="29"/>
      <c r="C917" s="29"/>
      <c r="D917" s="30"/>
      <c r="E917" s="29"/>
      <c r="F917" s="31"/>
      <c r="G917" s="29" t="str">
        <f>IF('단어 시험장'!E917="❌","❌","")</f>
        <v/>
      </c>
      <c r="H917" s="35" t="str" cm="1">
        <f t="array" ref="H917">IF(B917="","",IF(COUNTIF($B$2:$B$501,B917)&gt;1,"No."&amp;_xlfn.TEXTJOIN(", ",TRUE,IF(($B$2:$B$501=B917)*(ROW($B$2:$B$501)&lt;&gt;ROW(B917)),""&amp;$A$2:$A$501,"")),""))</f>
        <v/>
      </c>
      <c r="I917" s="29"/>
    </row>
    <row r="918" spans="1:9" x14ac:dyDescent="0.4">
      <c r="A918" s="29">
        <v>917</v>
      </c>
      <c r="B918" s="29"/>
      <c r="C918" s="29"/>
      <c r="D918" s="30"/>
      <c r="E918" s="29"/>
      <c r="F918" s="31"/>
      <c r="G918" s="29" t="str">
        <f>IF('단어 시험장'!E918="❌","❌","")</f>
        <v/>
      </c>
      <c r="H918" s="35" t="str" cm="1">
        <f t="array" ref="H918">IF(B918="","",IF(COUNTIF($B$2:$B$501,B918)&gt;1,"No."&amp;_xlfn.TEXTJOIN(", ",TRUE,IF(($B$2:$B$501=B918)*(ROW($B$2:$B$501)&lt;&gt;ROW(B918)),""&amp;$A$2:$A$501,"")),""))</f>
        <v/>
      </c>
      <c r="I918" s="29"/>
    </row>
    <row r="919" spans="1:9" x14ac:dyDescent="0.4">
      <c r="A919" s="29">
        <v>918</v>
      </c>
      <c r="B919" s="29"/>
      <c r="C919" s="29"/>
      <c r="D919" s="30"/>
      <c r="E919" s="29"/>
      <c r="F919" s="31"/>
      <c r="G919" s="29" t="str">
        <f>IF('단어 시험장'!E919="❌","❌","")</f>
        <v/>
      </c>
      <c r="H919" s="35" t="str" cm="1">
        <f t="array" ref="H919">IF(B919="","",IF(COUNTIF($B$2:$B$501,B919)&gt;1,"No."&amp;_xlfn.TEXTJOIN(", ",TRUE,IF(($B$2:$B$501=B919)*(ROW($B$2:$B$501)&lt;&gt;ROW(B919)),""&amp;$A$2:$A$501,"")),""))</f>
        <v/>
      </c>
      <c r="I919" s="29"/>
    </row>
    <row r="920" spans="1:9" x14ac:dyDescent="0.4">
      <c r="A920" s="29">
        <v>919</v>
      </c>
      <c r="B920" s="29"/>
      <c r="C920" s="29"/>
      <c r="D920" s="30"/>
      <c r="E920" s="29"/>
      <c r="F920" s="31"/>
      <c r="G920" s="29" t="str">
        <f>IF('단어 시험장'!E920="❌","❌","")</f>
        <v/>
      </c>
      <c r="H920" s="35" t="str" cm="1">
        <f t="array" ref="H920">IF(B920="","",IF(COUNTIF($B$2:$B$501,B920)&gt;1,"No."&amp;_xlfn.TEXTJOIN(", ",TRUE,IF(($B$2:$B$501=B920)*(ROW($B$2:$B$501)&lt;&gt;ROW(B920)),""&amp;$A$2:$A$501,"")),""))</f>
        <v/>
      </c>
      <c r="I920" s="29"/>
    </row>
    <row r="921" spans="1:9" x14ac:dyDescent="0.4">
      <c r="A921" s="29">
        <v>920</v>
      </c>
      <c r="B921" s="29"/>
      <c r="C921" s="29"/>
      <c r="D921" s="30"/>
      <c r="E921" s="29"/>
      <c r="F921" s="31"/>
      <c r="G921" s="29" t="str">
        <f>IF('단어 시험장'!E921="❌","❌","")</f>
        <v/>
      </c>
      <c r="H921" s="35" t="str" cm="1">
        <f t="array" ref="H921">IF(B921="","",IF(COUNTIF($B$2:$B$501,B921)&gt;1,"No."&amp;_xlfn.TEXTJOIN(", ",TRUE,IF(($B$2:$B$501=B921)*(ROW($B$2:$B$501)&lt;&gt;ROW(B921)),""&amp;$A$2:$A$501,"")),""))</f>
        <v/>
      </c>
      <c r="I921" s="29"/>
    </row>
    <row r="922" spans="1:9" x14ac:dyDescent="0.4">
      <c r="A922" s="29">
        <v>921</v>
      </c>
      <c r="B922" s="29"/>
      <c r="C922" s="29"/>
      <c r="D922" s="30"/>
      <c r="E922" s="29"/>
      <c r="F922" s="31"/>
      <c r="G922" s="29" t="str">
        <f>IF('단어 시험장'!E922="❌","❌","")</f>
        <v/>
      </c>
      <c r="H922" s="35" t="str" cm="1">
        <f t="array" ref="H922">IF(B922="","",IF(COUNTIF($B$2:$B$501,B922)&gt;1,"No."&amp;_xlfn.TEXTJOIN(", ",TRUE,IF(($B$2:$B$501=B922)*(ROW($B$2:$B$501)&lt;&gt;ROW(B922)),""&amp;$A$2:$A$501,"")),""))</f>
        <v/>
      </c>
      <c r="I922" s="29"/>
    </row>
    <row r="923" spans="1:9" x14ac:dyDescent="0.4">
      <c r="A923" s="29">
        <v>922</v>
      </c>
      <c r="B923" s="29"/>
      <c r="C923" s="29"/>
      <c r="D923" s="30"/>
      <c r="E923" s="29"/>
      <c r="F923" s="31"/>
      <c r="G923" s="29" t="str">
        <f>IF('단어 시험장'!E923="❌","❌","")</f>
        <v/>
      </c>
      <c r="H923" s="35" t="str" cm="1">
        <f t="array" ref="H923">IF(B923="","",IF(COUNTIF($B$2:$B$501,B923)&gt;1,"No."&amp;_xlfn.TEXTJOIN(", ",TRUE,IF(($B$2:$B$501=B923)*(ROW($B$2:$B$501)&lt;&gt;ROW(B923)),""&amp;$A$2:$A$501,"")),""))</f>
        <v/>
      </c>
      <c r="I923" s="29"/>
    </row>
    <row r="924" spans="1:9" x14ac:dyDescent="0.4">
      <c r="A924" s="29">
        <v>923</v>
      </c>
      <c r="B924" s="29"/>
      <c r="C924" s="29"/>
      <c r="D924" s="30"/>
      <c r="E924" s="29"/>
      <c r="F924" s="31"/>
      <c r="G924" s="29" t="str">
        <f>IF('단어 시험장'!E924="❌","❌","")</f>
        <v/>
      </c>
      <c r="H924" s="35" t="str" cm="1">
        <f t="array" ref="H924">IF(B924="","",IF(COUNTIF($B$2:$B$501,B924)&gt;1,"No."&amp;_xlfn.TEXTJOIN(", ",TRUE,IF(($B$2:$B$501=B924)*(ROW($B$2:$B$501)&lt;&gt;ROW(B924)),""&amp;$A$2:$A$501,"")),""))</f>
        <v/>
      </c>
      <c r="I924" s="29"/>
    </row>
    <row r="925" spans="1:9" x14ac:dyDescent="0.4">
      <c r="A925" s="29">
        <v>924</v>
      </c>
      <c r="B925" s="29"/>
      <c r="C925" s="29"/>
      <c r="D925" s="30"/>
      <c r="E925" s="29"/>
      <c r="F925" s="31"/>
      <c r="G925" s="29" t="str">
        <f>IF('단어 시험장'!E925="❌","❌","")</f>
        <v/>
      </c>
      <c r="H925" s="35" t="str" cm="1">
        <f t="array" ref="H925">IF(B925="","",IF(COUNTIF($B$2:$B$501,B925)&gt;1,"No."&amp;_xlfn.TEXTJOIN(", ",TRUE,IF(($B$2:$B$501=B925)*(ROW($B$2:$B$501)&lt;&gt;ROW(B925)),""&amp;$A$2:$A$501,"")),""))</f>
        <v/>
      </c>
      <c r="I925" s="29"/>
    </row>
    <row r="926" spans="1:9" x14ac:dyDescent="0.4">
      <c r="A926" s="29">
        <v>925</v>
      </c>
      <c r="B926" s="29"/>
      <c r="C926" s="29"/>
      <c r="D926" s="30"/>
      <c r="E926" s="29"/>
      <c r="F926" s="31"/>
      <c r="G926" s="29" t="str">
        <f>IF('단어 시험장'!E926="❌","❌","")</f>
        <v/>
      </c>
      <c r="H926" s="35" t="str" cm="1">
        <f t="array" ref="H926">IF(B926="","",IF(COUNTIF($B$2:$B$501,B926)&gt;1,"No."&amp;_xlfn.TEXTJOIN(", ",TRUE,IF(($B$2:$B$501=B926)*(ROW($B$2:$B$501)&lt;&gt;ROW(B926)),""&amp;$A$2:$A$501,"")),""))</f>
        <v/>
      </c>
      <c r="I926" s="29"/>
    </row>
    <row r="927" spans="1:9" x14ac:dyDescent="0.4">
      <c r="A927" s="29">
        <v>926</v>
      </c>
      <c r="B927" s="29"/>
      <c r="C927" s="29"/>
      <c r="D927" s="30"/>
      <c r="E927" s="29"/>
      <c r="F927" s="31"/>
      <c r="G927" s="29" t="str">
        <f>IF('단어 시험장'!E927="❌","❌","")</f>
        <v/>
      </c>
      <c r="H927" s="35" t="str" cm="1">
        <f t="array" ref="H927">IF(B927="","",IF(COUNTIF($B$2:$B$501,B927)&gt;1,"No."&amp;_xlfn.TEXTJOIN(", ",TRUE,IF(($B$2:$B$501=B927)*(ROW($B$2:$B$501)&lt;&gt;ROW(B927)),""&amp;$A$2:$A$501,"")),""))</f>
        <v/>
      </c>
      <c r="I927" s="29"/>
    </row>
    <row r="928" spans="1:9" x14ac:dyDescent="0.4">
      <c r="A928" s="29">
        <v>927</v>
      </c>
      <c r="B928" s="29"/>
      <c r="C928" s="29"/>
      <c r="D928" s="30"/>
      <c r="E928" s="29"/>
      <c r="F928" s="31"/>
      <c r="G928" s="29" t="str">
        <f>IF('단어 시험장'!E928="❌","❌","")</f>
        <v/>
      </c>
      <c r="H928" s="35" t="str" cm="1">
        <f t="array" ref="H928">IF(B928="","",IF(COUNTIF($B$2:$B$501,B928)&gt;1,"No."&amp;_xlfn.TEXTJOIN(", ",TRUE,IF(($B$2:$B$501=B928)*(ROW($B$2:$B$501)&lt;&gt;ROW(B928)),""&amp;$A$2:$A$501,"")),""))</f>
        <v/>
      </c>
      <c r="I928" s="29"/>
    </row>
    <row r="929" spans="1:9" x14ac:dyDescent="0.4">
      <c r="A929" s="29">
        <v>928</v>
      </c>
      <c r="B929" s="29"/>
      <c r="C929" s="29"/>
      <c r="D929" s="30"/>
      <c r="E929" s="29"/>
      <c r="F929" s="31"/>
      <c r="G929" s="29" t="str">
        <f>IF('단어 시험장'!E929="❌","❌","")</f>
        <v/>
      </c>
      <c r="H929" s="35" t="str" cm="1">
        <f t="array" ref="H929">IF(B929="","",IF(COUNTIF($B$2:$B$501,B929)&gt;1,"No."&amp;_xlfn.TEXTJOIN(", ",TRUE,IF(($B$2:$B$501=B929)*(ROW($B$2:$B$501)&lt;&gt;ROW(B929)),""&amp;$A$2:$A$501,"")),""))</f>
        <v/>
      </c>
      <c r="I929" s="29"/>
    </row>
    <row r="930" spans="1:9" x14ac:dyDescent="0.4">
      <c r="A930" s="29">
        <v>929</v>
      </c>
      <c r="B930" s="29"/>
      <c r="C930" s="29"/>
      <c r="D930" s="30"/>
      <c r="E930" s="29"/>
      <c r="F930" s="31"/>
      <c r="G930" s="29" t="str">
        <f>IF('단어 시험장'!E930="❌","❌","")</f>
        <v/>
      </c>
      <c r="H930" s="35" t="str" cm="1">
        <f t="array" ref="H930">IF(B930="","",IF(COUNTIF($B$2:$B$501,B930)&gt;1,"No."&amp;_xlfn.TEXTJOIN(", ",TRUE,IF(($B$2:$B$501=B930)*(ROW($B$2:$B$501)&lt;&gt;ROW(B930)),""&amp;$A$2:$A$501,"")),""))</f>
        <v/>
      </c>
      <c r="I930" s="29"/>
    </row>
    <row r="931" spans="1:9" x14ac:dyDescent="0.4">
      <c r="A931" s="29">
        <v>930</v>
      </c>
      <c r="B931" s="29"/>
      <c r="C931" s="29"/>
      <c r="D931" s="30"/>
      <c r="E931" s="29"/>
      <c r="F931" s="31"/>
      <c r="G931" s="29" t="str">
        <f>IF('단어 시험장'!E931="❌","❌","")</f>
        <v/>
      </c>
      <c r="H931" s="35" t="str" cm="1">
        <f t="array" ref="H931">IF(B931="","",IF(COUNTIF($B$2:$B$501,B931)&gt;1,"No."&amp;_xlfn.TEXTJOIN(", ",TRUE,IF(($B$2:$B$501=B931)*(ROW($B$2:$B$501)&lt;&gt;ROW(B931)),""&amp;$A$2:$A$501,"")),""))</f>
        <v/>
      </c>
      <c r="I931" s="29"/>
    </row>
    <row r="932" spans="1:9" x14ac:dyDescent="0.4">
      <c r="A932" s="29">
        <v>931</v>
      </c>
      <c r="B932" s="29"/>
      <c r="C932" s="29"/>
      <c r="D932" s="30"/>
      <c r="E932" s="29"/>
      <c r="F932" s="31"/>
      <c r="G932" s="29" t="str">
        <f>IF('단어 시험장'!E932="❌","❌","")</f>
        <v/>
      </c>
      <c r="H932" s="35" t="str" cm="1">
        <f t="array" ref="H932">IF(B932="","",IF(COUNTIF($B$2:$B$501,B932)&gt;1,"No."&amp;_xlfn.TEXTJOIN(", ",TRUE,IF(($B$2:$B$501=B932)*(ROW($B$2:$B$501)&lt;&gt;ROW(B932)),""&amp;$A$2:$A$501,"")),""))</f>
        <v/>
      </c>
      <c r="I932" s="29"/>
    </row>
    <row r="933" spans="1:9" x14ac:dyDescent="0.4">
      <c r="A933" s="29">
        <v>932</v>
      </c>
      <c r="B933" s="29"/>
      <c r="C933" s="29"/>
      <c r="D933" s="30"/>
      <c r="E933" s="29"/>
      <c r="F933" s="31"/>
      <c r="G933" s="29" t="str">
        <f>IF('단어 시험장'!E933="❌","❌","")</f>
        <v/>
      </c>
      <c r="H933" s="35" t="str" cm="1">
        <f t="array" ref="H933">IF(B933="","",IF(COUNTIF($B$2:$B$501,B933)&gt;1,"No."&amp;_xlfn.TEXTJOIN(", ",TRUE,IF(($B$2:$B$501=B933)*(ROW($B$2:$B$501)&lt;&gt;ROW(B933)),""&amp;$A$2:$A$501,"")),""))</f>
        <v/>
      </c>
      <c r="I933" s="29"/>
    </row>
    <row r="934" spans="1:9" x14ac:dyDescent="0.4">
      <c r="A934" s="29">
        <v>933</v>
      </c>
      <c r="B934" s="29"/>
      <c r="C934" s="29"/>
      <c r="D934" s="30"/>
      <c r="E934" s="29"/>
      <c r="F934" s="31"/>
      <c r="G934" s="29" t="str">
        <f>IF('단어 시험장'!E934="❌","❌","")</f>
        <v/>
      </c>
      <c r="H934" s="35" t="str" cm="1">
        <f t="array" ref="H934">IF(B934="","",IF(COUNTIF($B$2:$B$501,B934)&gt;1,"No."&amp;_xlfn.TEXTJOIN(", ",TRUE,IF(($B$2:$B$501=B934)*(ROW($B$2:$B$501)&lt;&gt;ROW(B934)),""&amp;$A$2:$A$501,"")),""))</f>
        <v/>
      </c>
      <c r="I934" s="29"/>
    </row>
    <row r="935" spans="1:9" x14ac:dyDescent="0.4">
      <c r="A935" s="29">
        <v>934</v>
      </c>
      <c r="B935" s="29"/>
      <c r="C935" s="29"/>
      <c r="D935" s="30"/>
      <c r="E935" s="29"/>
      <c r="F935" s="31"/>
      <c r="G935" s="29" t="str">
        <f>IF('단어 시험장'!E935="❌","❌","")</f>
        <v/>
      </c>
      <c r="H935" s="35" t="str" cm="1">
        <f t="array" ref="H935">IF(B935="","",IF(COUNTIF($B$2:$B$501,B935)&gt;1,"No."&amp;_xlfn.TEXTJOIN(", ",TRUE,IF(($B$2:$B$501=B935)*(ROW($B$2:$B$501)&lt;&gt;ROW(B935)),""&amp;$A$2:$A$501,"")),""))</f>
        <v/>
      </c>
      <c r="I935" s="29"/>
    </row>
    <row r="936" spans="1:9" x14ac:dyDescent="0.4">
      <c r="A936" s="29">
        <v>935</v>
      </c>
      <c r="B936" s="29"/>
      <c r="C936" s="29"/>
      <c r="D936" s="30"/>
      <c r="E936" s="29"/>
      <c r="F936" s="31"/>
      <c r="G936" s="29" t="str">
        <f>IF('단어 시험장'!E936="❌","❌","")</f>
        <v/>
      </c>
      <c r="H936" s="35" t="str" cm="1">
        <f t="array" ref="H936">IF(B936="","",IF(COUNTIF($B$2:$B$501,B936)&gt;1,"No."&amp;_xlfn.TEXTJOIN(", ",TRUE,IF(($B$2:$B$501=B936)*(ROW($B$2:$B$501)&lt;&gt;ROW(B936)),""&amp;$A$2:$A$501,"")),""))</f>
        <v/>
      </c>
      <c r="I936" s="29"/>
    </row>
    <row r="937" spans="1:9" x14ac:dyDescent="0.4">
      <c r="A937" s="29">
        <v>936</v>
      </c>
      <c r="B937" s="29"/>
      <c r="C937" s="29"/>
      <c r="D937" s="30"/>
      <c r="E937" s="29"/>
      <c r="F937" s="31"/>
      <c r="G937" s="29" t="str">
        <f>IF('단어 시험장'!E937="❌","❌","")</f>
        <v/>
      </c>
      <c r="H937" s="35" t="str" cm="1">
        <f t="array" ref="H937">IF(B937="","",IF(COUNTIF($B$2:$B$501,B937)&gt;1,"No."&amp;_xlfn.TEXTJOIN(", ",TRUE,IF(($B$2:$B$501=B937)*(ROW($B$2:$B$501)&lt;&gt;ROW(B937)),""&amp;$A$2:$A$501,"")),""))</f>
        <v/>
      </c>
      <c r="I937" s="29"/>
    </row>
    <row r="938" spans="1:9" x14ac:dyDescent="0.4">
      <c r="A938" s="29">
        <v>937</v>
      </c>
      <c r="B938" s="29"/>
      <c r="C938" s="29"/>
      <c r="D938" s="30"/>
      <c r="E938" s="29"/>
      <c r="F938" s="31"/>
      <c r="G938" s="29" t="str">
        <f>IF('단어 시험장'!E938="❌","❌","")</f>
        <v/>
      </c>
      <c r="H938" s="35" t="str" cm="1">
        <f t="array" ref="H938">IF(B938="","",IF(COUNTIF($B$2:$B$501,B938)&gt;1,"No."&amp;_xlfn.TEXTJOIN(", ",TRUE,IF(($B$2:$B$501=B938)*(ROW($B$2:$B$501)&lt;&gt;ROW(B938)),""&amp;$A$2:$A$501,"")),""))</f>
        <v/>
      </c>
      <c r="I938" s="29"/>
    </row>
    <row r="939" spans="1:9" x14ac:dyDescent="0.4">
      <c r="A939" s="29">
        <v>938</v>
      </c>
      <c r="B939" s="29"/>
      <c r="C939" s="29"/>
      <c r="D939" s="30"/>
      <c r="E939" s="29"/>
      <c r="F939" s="31"/>
      <c r="G939" s="29" t="str">
        <f>IF('단어 시험장'!E939="❌","❌","")</f>
        <v/>
      </c>
      <c r="H939" s="35" t="str" cm="1">
        <f t="array" ref="H939">IF(B939="","",IF(COUNTIF($B$2:$B$501,B939)&gt;1,"No."&amp;_xlfn.TEXTJOIN(", ",TRUE,IF(($B$2:$B$501=B939)*(ROW($B$2:$B$501)&lt;&gt;ROW(B939)),""&amp;$A$2:$A$501,"")),""))</f>
        <v/>
      </c>
      <c r="I939" s="29"/>
    </row>
    <row r="940" spans="1:9" x14ac:dyDescent="0.4">
      <c r="A940" s="29">
        <v>939</v>
      </c>
      <c r="B940" s="29"/>
      <c r="C940" s="29"/>
      <c r="D940" s="30"/>
      <c r="E940" s="29"/>
      <c r="F940" s="31"/>
      <c r="G940" s="29" t="str">
        <f>IF('단어 시험장'!E940="❌","❌","")</f>
        <v/>
      </c>
      <c r="H940" s="35" t="str" cm="1">
        <f t="array" ref="H940">IF(B940="","",IF(COUNTIF($B$2:$B$501,B940)&gt;1,"No."&amp;_xlfn.TEXTJOIN(", ",TRUE,IF(($B$2:$B$501=B940)*(ROW($B$2:$B$501)&lt;&gt;ROW(B940)),""&amp;$A$2:$A$501,"")),""))</f>
        <v/>
      </c>
      <c r="I940" s="29"/>
    </row>
    <row r="941" spans="1:9" x14ac:dyDescent="0.4">
      <c r="A941" s="29">
        <v>940</v>
      </c>
      <c r="B941" s="29"/>
      <c r="C941" s="29"/>
      <c r="D941" s="30"/>
      <c r="E941" s="29"/>
      <c r="F941" s="31"/>
      <c r="G941" s="29" t="str">
        <f>IF('단어 시험장'!E941="❌","❌","")</f>
        <v/>
      </c>
      <c r="H941" s="35" t="str" cm="1">
        <f t="array" ref="H941">IF(B941="","",IF(COUNTIF($B$2:$B$501,B941)&gt;1,"No."&amp;_xlfn.TEXTJOIN(", ",TRUE,IF(($B$2:$B$501=B941)*(ROW($B$2:$B$501)&lt;&gt;ROW(B941)),""&amp;$A$2:$A$501,"")),""))</f>
        <v/>
      </c>
      <c r="I941" s="29"/>
    </row>
    <row r="942" spans="1:9" x14ac:dyDescent="0.4">
      <c r="A942" s="29">
        <v>941</v>
      </c>
      <c r="B942" s="29"/>
      <c r="C942" s="29"/>
      <c r="D942" s="30"/>
      <c r="E942" s="29"/>
      <c r="F942" s="31"/>
      <c r="G942" s="29" t="str">
        <f>IF('단어 시험장'!E942="❌","❌","")</f>
        <v/>
      </c>
      <c r="H942" s="35" t="str" cm="1">
        <f t="array" ref="H942">IF(B942="","",IF(COUNTIF($B$2:$B$501,B942)&gt;1,"No."&amp;_xlfn.TEXTJOIN(", ",TRUE,IF(($B$2:$B$501=B942)*(ROW($B$2:$B$501)&lt;&gt;ROW(B942)),""&amp;$A$2:$A$501,"")),""))</f>
        <v/>
      </c>
      <c r="I942" s="29"/>
    </row>
    <row r="943" spans="1:9" x14ac:dyDescent="0.4">
      <c r="A943" s="29">
        <v>942</v>
      </c>
      <c r="B943" s="29"/>
      <c r="C943" s="29"/>
      <c r="D943" s="30"/>
      <c r="E943" s="29"/>
      <c r="F943" s="31"/>
      <c r="G943" s="29" t="str">
        <f>IF('단어 시험장'!E943="❌","❌","")</f>
        <v/>
      </c>
      <c r="H943" s="35" t="str" cm="1">
        <f t="array" ref="H943">IF(B943="","",IF(COUNTIF($B$2:$B$501,B943)&gt;1,"No."&amp;_xlfn.TEXTJOIN(", ",TRUE,IF(($B$2:$B$501=B943)*(ROW($B$2:$B$501)&lt;&gt;ROW(B943)),""&amp;$A$2:$A$501,"")),""))</f>
        <v/>
      </c>
      <c r="I943" s="29"/>
    </row>
    <row r="944" spans="1:9" x14ac:dyDescent="0.4">
      <c r="A944" s="29">
        <v>943</v>
      </c>
      <c r="B944" s="29"/>
      <c r="C944" s="29"/>
      <c r="D944" s="30"/>
      <c r="E944" s="29"/>
      <c r="F944" s="31"/>
      <c r="G944" s="29" t="str">
        <f>IF('단어 시험장'!E944="❌","❌","")</f>
        <v/>
      </c>
      <c r="H944" s="35" t="str" cm="1">
        <f t="array" ref="H944">IF(B944="","",IF(COUNTIF($B$2:$B$501,B944)&gt;1,"No."&amp;_xlfn.TEXTJOIN(", ",TRUE,IF(($B$2:$B$501=B944)*(ROW($B$2:$B$501)&lt;&gt;ROW(B944)),""&amp;$A$2:$A$501,"")),""))</f>
        <v/>
      </c>
      <c r="I944" s="29"/>
    </row>
    <row r="945" spans="1:9" x14ac:dyDescent="0.4">
      <c r="A945" s="29">
        <v>944</v>
      </c>
      <c r="B945" s="29"/>
      <c r="C945" s="29"/>
      <c r="D945" s="30"/>
      <c r="E945" s="29"/>
      <c r="F945" s="31"/>
      <c r="G945" s="29" t="str">
        <f>IF('단어 시험장'!E945="❌","❌","")</f>
        <v/>
      </c>
      <c r="H945" s="35" t="str" cm="1">
        <f t="array" ref="H945">IF(B945="","",IF(COUNTIF($B$2:$B$501,B945)&gt;1,"No."&amp;_xlfn.TEXTJOIN(", ",TRUE,IF(($B$2:$B$501=B945)*(ROW($B$2:$B$501)&lt;&gt;ROW(B945)),""&amp;$A$2:$A$501,"")),""))</f>
        <v/>
      </c>
      <c r="I945" s="29"/>
    </row>
    <row r="946" spans="1:9" x14ac:dyDescent="0.4">
      <c r="A946" s="29">
        <v>945</v>
      </c>
      <c r="B946" s="29"/>
      <c r="C946" s="29"/>
      <c r="D946" s="30"/>
      <c r="E946" s="29"/>
      <c r="F946" s="31"/>
      <c r="G946" s="29" t="str">
        <f>IF('단어 시험장'!E946="❌","❌","")</f>
        <v/>
      </c>
      <c r="H946" s="35" t="str" cm="1">
        <f t="array" ref="H946">IF(B946="","",IF(COUNTIF($B$2:$B$501,B946)&gt;1,"No."&amp;_xlfn.TEXTJOIN(", ",TRUE,IF(($B$2:$B$501=B946)*(ROW($B$2:$B$501)&lt;&gt;ROW(B946)),""&amp;$A$2:$A$501,"")),""))</f>
        <v/>
      </c>
      <c r="I946" s="29"/>
    </row>
    <row r="947" spans="1:9" x14ac:dyDescent="0.4">
      <c r="A947" s="29">
        <v>946</v>
      </c>
      <c r="B947" s="29"/>
      <c r="C947" s="29"/>
      <c r="D947" s="30"/>
      <c r="E947" s="29"/>
      <c r="F947" s="31"/>
      <c r="G947" s="29" t="str">
        <f>IF('단어 시험장'!E947="❌","❌","")</f>
        <v/>
      </c>
      <c r="H947" s="35" t="str" cm="1">
        <f t="array" ref="H947">IF(B947="","",IF(COUNTIF($B$2:$B$501,B947)&gt;1,"No."&amp;_xlfn.TEXTJOIN(", ",TRUE,IF(($B$2:$B$501=B947)*(ROW($B$2:$B$501)&lt;&gt;ROW(B947)),""&amp;$A$2:$A$501,"")),""))</f>
        <v/>
      </c>
      <c r="I947" s="29"/>
    </row>
    <row r="948" spans="1:9" x14ac:dyDescent="0.4">
      <c r="A948" s="29">
        <v>947</v>
      </c>
      <c r="B948" s="29"/>
      <c r="C948" s="29"/>
      <c r="D948" s="30"/>
      <c r="E948" s="29"/>
      <c r="F948" s="31"/>
      <c r="G948" s="29" t="str">
        <f>IF('단어 시험장'!E948="❌","❌","")</f>
        <v/>
      </c>
      <c r="H948" s="35" t="str" cm="1">
        <f t="array" ref="H948">IF(B948="","",IF(COUNTIF($B$2:$B$501,B948)&gt;1,"No."&amp;_xlfn.TEXTJOIN(", ",TRUE,IF(($B$2:$B$501=B948)*(ROW($B$2:$B$501)&lt;&gt;ROW(B948)),""&amp;$A$2:$A$501,"")),""))</f>
        <v/>
      </c>
      <c r="I948" s="29"/>
    </row>
    <row r="949" spans="1:9" x14ac:dyDescent="0.4">
      <c r="A949" s="29">
        <v>948</v>
      </c>
      <c r="B949" s="29"/>
      <c r="C949" s="29"/>
      <c r="D949" s="30"/>
      <c r="E949" s="29"/>
      <c r="F949" s="31"/>
      <c r="G949" s="29" t="str">
        <f>IF('단어 시험장'!E949="❌","❌","")</f>
        <v/>
      </c>
      <c r="H949" s="35" t="str" cm="1">
        <f t="array" ref="H949">IF(B949="","",IF(COUNTIF($B$2:$B$501,B949)&gt;1,"No."&amp;_xlfn.TEXTJOIN(", ",TRUE,IF(($B$2:$B$501=B949)*(ROW($B$2:$B$501)&lt;&gt;ROW(B949)),""&amp;$A$2:$A$501,"")),""))</f>
        <v/>
      </c>
      <c r="I949" s="29"/>
    </row>
    <row r="950" spans="1:9" x14ac:dyDescent="0.4">
      <c r="A950" s="29">
        <v>949</v>
      </c>
      <c r="B950" s="29"/>
      <c r="C950" s="29"/>
      <c r="D950" s="30"/>
      <c r="E950" s="29"/>
      <c r="F950" s="31"/>
      <c r="G950" s="29" t="str">
        <f>IF('단어 시험장'!E950="❌","❌","")</f>
        <v/>
      </c>
      <c r="H950" s="35" t="str" cm="1">
        <f t="array" ref="H950">IF(B950="","",IF(COUNTIF($B$2:$B$501,B950)&gt;1,"No."&amp;_xlfn.TEXTJOIN(", ",TRUE,IF(($B$2:$B$501=B950)*(ROW($B$2:$B$501)&lt;&gt;ROW(B950)),""&amp;$A$2:$A$501,"")),""))</f>
        <v/>
      </c>
      <c r="I950" s="29"/>
    </row>
    <row r="951" spans="1:9" x14ac:dyDescent="0.4">
      <c r="A951" s="29">
        <v>950</v>
      </c>
      <c r="B951" s="29"/>
      <c r="C951" s="29"/>
      <c r="D951" s="30"/>
      <c r="E951" s="29"/>
      <c r="F951" s="31"/>
      <c r="G951" s="29" t="str">
        <f>IF('단어 시험장'!E951="❌","❌","")</f>
        <v/>
      </c>
      <c r="H951" s="35" t="str" cm="1">
        <f t="array" ref="H951">IF(B951="","",IF(COUNTIF($B$2:$B$501,B951)&gt;1,"No."&amp;_xlfn.TEXTJOIN(", ",TRUE,IF(($B$2:$B$501=B951)*(ROW($B$2:$B$501)&lt;&gt;ROW(B951)),""&amp;$A$2:$A$501,"")),""))</f>
        <v/>
      </c>
      <c r="I951" s="29"/>
    </row>
    <row r="952" spans="1:9" x14ac:dyDescent="0.4">
      <c r="A952" s="29">
        <v>951</v>
      </c>
      <c r="B952" s="29"/>
      <c r="C952" s="29"/>
      <c r="D952" s="30"/>
      <c r="E952" s="29"/>
      <c r="F952" s="31"/>
      <c r="G952" s="29" t="str">
        <f>IF('단어 시험장'!E952="❌","❌","")</f>
        <v/>
      </c>
      <c r="H952" s="35" t="str" cm="1">
        <f t="array" ref="H952">IF(B952="","",IF(COUNTIF($B$2:$B$501,B952)&gt;1,"No."&amp;_xlfn.TEXTJOIN(", ",TRUE,IF(($B$2:$B$501=B952)*(ROW($B$2:$B$501)&lt;&gt;ROW(B952)),""&amp;$A$2:$A$501,"")),""))</f>
        <v/>
      </c>
      <c r="I952" s="29"/>
    </row>
    <row r="953" spans="1:9" x14ac:dyDescent="0.4">
      <c r="A953" s="29">
        <v>952</v>
      </c>
      <c r="B953" s="29"/>
      <c r="C953" s="29"/>
      <c r="D953" s="30"/>
      <c r="E953" s="29"/>
      <c r="F953" s="31"/>
      <c r="G953" s="29" t="str">
        <f>IF('단어 시험장'!E953="❌","❌","")</f>
        <v/>
      </c>
      <c r="H953" s="35" t="str" cm="1">
        <f t="array" ref="H953">IF(B953="","",IF(COUNTIF($B$2:$B$501,B953)&gt;1,"No."&amp;_xlfn.TEXTJOIN(", ",TRUE,IF(($B$2:$B$501=B953)*(ROW($B$2:$B$501)&lt;&gt;ROW(B953)),""&amp;$A$2:$A$501,"")),""))</f>
        <v/>
      </c>
      <c r="I953" s="29"/>
    </row>
    <row r="954" spans="1:9" x14ac:dyDescent="0.4">
      <c r="A954" s="29">
        <v>953</v>
      </c>
      <c r="B954" s="29"/>
      <c r="C954" s="29"/>
      <c r="D954" s="30"/>
      <c r="E954" s="29"/>
      <c r="F954" s="31"/>
      <c r="G954" s="29" t="str">
        <f>IF('단어 시험장'!E954="❌","❌","")</f>
        <v/>
      </c>
      <c r="H954" s="35" t="str" cm="1">
        <f t="array" ref="H954">IF(B954="","",IF(COUNTIF($B$2:$B$501,B954)&gt;1,"No."&amp;_xlfn.TEXTJOIN(", ",TRUE,IF(($B$2:$B$501=B954)*(ROW($B$2:$B$501)&lt;&gt;ROW(B954)),""&amp;$A$2:$A$501,"")),""))</f>
        <v/>
      </c>
      <c r="I954" s="29"/>
    </row>
    <row r="955" spans="1:9" x14ac:dyDescent="0.4">
      <c r="A955" s="29">
        <v>954</v>
      </c>
      <c r="B955" s="29"/>
      <c r="C955" s="29"/>
      <c r="D955" s="30"/>
      <c r="E955" s="29"/>
      <c r="F955" s="31"/>
      <c r="G955" s="29" t="str">
        <f>IF('단어 시험장'!E955="❌","❌","")</f>
        <v/>
      </c>
      <c r="H955" s="35" t="str" cm="1">
        <f t="array" ref="H955">IF(B955="","",IF(COUNTIF($B$2:$B$501,B955)&gt;1,"No."&amp;_xlfn.TEXTJOIN(", ",TRUE,IF(($B$2:$B$501=B955)*(ROW($B$2:$B$501)&lt;&gt;ROW(B955)),""&amp;$A$2:$A$501,"")),""))</f>
        <v/>
      </c>
      <c r="I955" s="29"/>
    </row>
    <row r="956" spans="1:9" x14ac:dyDescent="0.4">
      <c r="A956" s="29">
        <v>955</v>
      </c>
      <c r="B956" s="29"/>
      <c r="C956" s="29"/>
      <c r="D956" s="30"/>
      <c r="E956" s="29"/>
      <c r="F956" s="31"/>
      <c r="G956" s="29" t="str">
        <f>IF('단어 시험장'!E956="❌","❌","")</f>
        <v/>
      </c>
      <c r="H956" s="35" t="str" cm="1">
        <f t="array" ref="H956">IF(B956="","",IF(COUNTIF($B$2:$B$501,B956)&gt;1,"No."&amp;_xlfn.TEXTJOIN(", ",TRUE,IF(($B$2:$B$501=B956)*(ROW($B$2:$B$501)&lt;&gt;ROW(B956)),""&amp;$A$2:$A$501,"")),""))</f>
        <v/>
      </c>
      <c r="I956" s="29"/>
    </row>
    <row r="957" spans="1:9" x14ac:dyDescent="0.4">
      <c r="A957" s="29">
        <v>956</v>
      </c>
      <c r="B957" s="29"/>
      <c r="C957" s="29"/>
      <c r="D957" s="30"/>
      <c r="E957" s="29"/>
      <c r="F957" s="31"/>
      <c r="G957" s="29" t="str">
        <f>IF('단어 시험장'!E957="❌","❌","")</f>
        <v/>
      </c>
      <c r="H957" s="35" t="str" cm="1">
        <f t="array" ref="H957">IF(B957="","",IF(COUNTIF($B$2:$B$501,B957)&gt;1,"No."&amp;_xlfn.TEXTJOIN(", ",TRUE,IF(($B$2:$B$501=B957)*(ROW($B$2:$B$501)&lt;&gt;ROW(B957)),""&amp;$A$2:$A$501,"")),""))</f>
        <v/>
      </c>
      <c r="I957" s="29"/>
    </row>
    <row r="958" spans="1:9" x14ac:dyDescent="0.4">
      <c r="A958" s="29">
        <v>957</v>
      </c>
      <c r="B958" s="29"/>
      <c r="C958" s="29"/>
      <c r="D958" s="30"/>
      <c r="E958" s="29"/>
      <c r="F958" s="31"/>
      <c r="G958" s="29" t="str">
        <f>IF('단어 시험장'!E958="❌","❌","")</f>
        <v/>
      </c>
      <c r="H958" s="35" t="str" cm="1">
        <f t="array" ref="H958">IF(B958="","",IF(COUNTIF($B$2:$B$501,B958)&gt;1,"No."&amp;_xlfn.TEXTJOIN(", ",TRUE,IF(($B$2:$B$501=B958)*(ROW($B$2:$B$501)&lt;&gt;ROW(B958)),""&amp;$A$2:$A$501,"")),""))</f>
        <v/>
      </c>
      <c r="I958" s="29"/>
    </row>
    <row r="959" spans="1:9" x14ac:dyDescent="0.4">
      <c r="A959" s="29">
        <v>958</v>
      </c>
      <c r="B959" s="29"/>
      <c r="C959" s="29"/>
      <c r="D959" s="30"/>
      <c r="E959" s="29"/>
      <c r="F959" s="31"/>
      <c r="G959" s="29" t="str">
        <f>IF('단어 시험장'!E959="❌","❌","")</f>
        <v/>
      </c>
      <c r="H959" s="35" t="str" cm="1">
        <f t="array" ref="H959">IF(B959="","",IF(COUNTIF($B$2:$B$501,B959)&gt;1,"No."&amp;_xlfn.TEXTJOIN(", ",TRUE,IF(($B$2:$B$501=B959)*(ROW($B$2:$B$501)&lt;&gt;ROW(B959)),""&amp;$A$2:$A$501,"")),""))</f>
        <v/>
      </c>
      <c r="I959" s="29"/>
    </row>
    <row r="960" spans="1:9" x14ac:dyDescent="0.4">
      <c r="A960" s="29">
        <v>959</v>
      </c>
      <c r="B960" s="29"/>
      <c r="C960" s="29"/>
      <c r="D960" s="30"/>
      <c r="E960" s="29"/>
      <c r="F960" s="31"/>
      <c r="G960" s="29" t="str">
        <f>IF('단어 시험장'!E960="❌","❌","")</f>
        <v/>
      </c>
      <c r="H960" s="35" t="str" cm="1">
        <f t="array" ref="H960">IF(B960="","",IF(COUNTIF($B$2:$B$501,B960)&gt;1,"No."&amp;_xlfn.TEXTJOIN(", ",TRUE,IF(($B$2:$B$501=B960)*(ROW($B$2:$B$501)&lt;&gt;ROW(B960)),""&amp;$A$2:$A$501,"")),""))</f>
        <v/>
      </c>
      <c r="I960" s="29"/>
    </row>
    <row r="961" spans="1:9" x14ac:dyDescent="0.4">
      <c r="A961" s="29">
        <v>960</v>
      </c>
      <c r="B961" s="29"/>
      <c r="C961" s="29"/>
      <c r="D961" s="30"/>
      <c r="E961" s="29"/>
      <c r="F961" s="31"/>
      <c r="G961" s="29" t="str">
        <f>IF('단어 시험장'!E961="❌","❌","")</f>
        <v/>
      </c>
      <c r="H961" s="35" t="str" cm="1">
        <f t="array" ref="H961">IF(B961="","",IF(COUNTIF($B$2:$B$501,B961)&gt;1,"No."&amp;_xlfn.TEXTJOIN(", ",TRUE,IF(($B$2:$B$501=B961)*(ROW($B$2:$B$501)&lt;&gt;ROW(B961)),""&amp;$A$2:$A$501,"")),""))</f>
        <v/>
      </c>
      <c r="I961" s="29"/>
    </row>
    <row r="962" spans="1:9" x14ac:dyDescent="0.4">
      <c r="A962" s="29">
        <v>961</v>
      </c>
      <c r="B962" s="29"/>
      <c r="C962" s="29"/>
      <c r="D962" s="30"/>
      <c r="E962" s="29"/>
      <c r="F962" s="31"/>
      <c r="G962" s="29" t="str">
        <f>IF('단어 시험장'!E962="❌","❌","")</f>
        <v/>
      </c>
      <c r="H962" s="35" t="str" cm="1">
        <f t="array" ref="H962">IF(B962="","",IF(COUNTIF($B$2:$B$501,B962)&gt;1,"No."&amp;_xlfn.TEXTJOIN(", ",TRUE,IF(($B$2:$B$501=B962)*(ROW($B$2:$B$501)&lt;&gt;ROW(B962)),""&amp;$A$2:$A$501,"")),""))</f>
        <v/>
      </c>
      <c r="I962" s="29"/>
    </row>
    <row r="963" spans="1:9" x14ac:dyDescent="0.4">
      <c r="A963" s="29">
        <v>962</v>
      </c>
      <c r="B963" s="29"/>
      <c r="C963" s="29"/>
      <c r="D963" s="30"/>
      <c r="E963" s="29"/>
      <c r="F963" s="31"/>
      <c r="G963" s="29" t="str">
        <f>IF('단어 시험장'!E963="❌","❌","")</f>
        <v/>
      </c>
      <c r="H963" s="35" t="str" cm="1">
        <f t="array" ref="H963">IF(B963="","",IF(COUNTIF($B$2:$B$501,B963)&gt;1,"No."&amp;_xlfn.TEXTJOIN(", ",TRUE,IF(($B$2:$B$501=B963)*(ROW($B$2:$B$501)&lt;&gt;ROW(B963)),""&amp;$A$2:$A$501,"")),""))</f>
        <v/>
      </c>
      <c r="I963" s="29"/>
    </row>
    <row r="964" spans="1:9" x14ac:dyDescent="0.4">
      <c r="A964" s="29">
        <v>963</v>
      </c>
      <c r="B964" s="29"/>
      <c r="C964" s="29"/>
      <c r="D964" s="30"/>
      <c r="E964" s="29"/>
      <c r="F964" s="31"/>
      <c r="G964" s="29" t="str">
        <f>IF('단어 시험장'!E964="❌","❌","")</f>
        <v/>
      </c>
      <c r="H964" s="35" t="str" cm="1">
        <f t="array" ref="H964">IF(B964="","",IF(COUNTIF($B$2:$B$501,B964)&gt;1,"No."&amp;_xlfn.TEXTJOIN(", ",TRUE,IF(($B$2:$B$501=B964)*(ROW($B$2:$B$501)&lt;&gt;ROW(B964)),""&amp;$A$2:$A$501,"")),""))</f>
        <v/>
      </c>
      <c r="I964" s="29"/>
    </row>
    <row r="965" spans="1:9" x14ac:dyDescent="0.4">
      <c r="A965" s="29">
        <v>964</v>
      </c>
      <c r="B965" s="29"/>
      <c r="C965" s="29"/>
      <c r="D965" s="30"/>
      <c r="E965" s="29"/>
      <c r="F965" s="31"/>
      <c r="G965" s="29" t="str">
        <f>IF('단어 시험장'!E965="❌","❌","")</f>
        <v/>
      </c>
      <c r="H965" s="35" t="str" cm="1">
        <f t="array" ref="H965">IF(B965="","",IF(COUNTIF($B$2:$B$501,B965)&gt;1,"No."&amp;_xlfn.TEXTJOIN(", ",TRUE,IF(($B$2:$B$501=B965)*(ROW($B$2:$B$501)&lt;&gt;ROW(B965)),""&amp;$A$2:$A$501,"")),""))</f>
        <v/>
      </c>
      <c r="I965" s="29"/>
    </row>
    <row r="966" spans="1:9" x14ac:dyDescent="0.4">
      <c r="A966" s="29">
        <v>965</v>
      </c>
      <c r="B966" s="29"/>
      <c r="C966" s="29"/>
      <c r="D966" s="30"/>
      <c r="E966" s="29"/>
      <c r="F966" s="31"/>
      <c r="G966" s="29" t="str">
        <f>IF('단어 시험장'!E966="❌","❌","")</f>
        <v/>
      </c>
      <c r="H966" s="35" t="str" cm="1">
        <f t="array" ref="H966">IF(B966="","",IF(COUNTIF($B$2:$B$501,B966)&gt;1,"No."&amp;_xlfn.TEXTJOIN(", ",TRUE,IF(($B$2:$B$501=B966)*(ROW($B$2:$B$501)&lt;&gt;ROW(B966)),""&amp;$A$2:$A$501,"")),""))</f>
        <v/>
      </c>
      <c r="I966" s="29"/>
    </row>
    <row r="967" spans="1:9" x14ac:dyDescent="0.4">
      <c r="A967" s="29">
        <v>966</v>
      </c>
      <c r="B967" s="29"/>
      <c r="C967" s="29"/>
      <c r="D967" s="30"/>
      <c r="E967" s="29"/>
      <c r="F967" s="31"/>
      <c r="G967" s="29" t="str">
        <f>IF('단어 시험장'!E967="❌","❌","")</f>
        <v/>
      </c>
      <c r="H967" s="35" t="str" cm="1">
        <f t="array" ref="H967">IF(B967="","",IF(COUNTIF($B$2:$B$501,B967)&gt;1,"No."&amp;_xlfn.TEXTJOIN(", ",TRUE,IF(($B$2:$B$501=B967)*(ROW($B$2:$B$501)&lt;&gt;ROW(B967)),""&amp;$A$2:$A$501,"")),""))</f>
        <v/>
      </c>
      <c r="I967" s="29"/>
    </row>
    <row r="968" spans="1:9" x14ac:dyDescent="0.4">
      <c r="A968" s="29">
        <v>967</v>
      </c>
      <c r="B968" s="29"/>
      <c r="C968" s="29"/>
      <c r="D968" s="30"/>
      <c r="E968" s="29"/>
      <c r="F968" s="31"/>
      <c r="G968" s="29" t="str">
        <f>IF('단어 시험장'!E968="❌","❌","")</f>
        <v/>
      </c>
      <c r="H968" s="35" t="str" cm="1">
        <f t="array" ref="H968">IF(B968="","",IF(COUNTIF($B$2:$B$501,B968)&gt;1,"No."&amp;_xlfn.TEXTJOIN(", ",TRUE,IF(($B$2:$B$501=B968)*(ROW($B$2:$B$501)&lt;&gt;ROW(B968)),""&amp;$A$2:$A$501,"")),""))</f>
        <v/>
      </c>
      <c r="I968" s="29"/>
    </row>
    <row r="969" spans="1:9" x14ac:dyDescent="0.4">
      <c r="A969" s="29">
        <v>968</v>
      </c>
      <c r="B969" s="29"/>
      <c r="C969" s="29"/>
      <c r="D969" s="30"/>
      <c r="E969" s="29"/>
      <c r="F969" s="31"/>
      <c r="G969" s="29" t="str">
        <f>IF('단어 시험장'!E969="❌","❌","")</f>
        <v/>
      </c>
      <c r="H969" s="35" t="str" cm="1">
        <f t="array" ref="H969">IF(B969="","",IF(COUNTIF($B$2:$B$501,B969)&gt;1,"No."&amp;_xlfn.TEXTJOIN(", ",TRUE,IF(($B$2:$B$501=B969)*(ROW($B$2:$B$501)&lt;&gt;ROW(B969)),""&amp;$A$2:$A$501,"")),""))</f>
        <v/>
      </c>
      <c r="I969" s="29"/>
    </row>
    <row r="970" spans="1:9" x14ac:dyDescent="0.4">
      <c r="A970" s="29">
        <v>969</v>
      </c>
      <c r="B970" s="29"/>
      <c r="C970" s="29"/>
      <c r="D970" s="30"/>
      <c r="E970" s="29"/>
      <c r="F970" s="31"/>
      <c r="G970" s="29" t="str">
        <f>IF('단어 시험장'!E970="❌","❌","")</f>
        <v/>
      </c>
      <c r="H970" s="35" t="str" cm="1">
        <f t="array" ref="H970">IF(B970="","",IF(COUNTIF($B$2:$B$501,B970)&gt;1,"No."&amp;_xlfn.TEXTJOIN(", ",TRUE,IF(($B$2:$B$501=B970)*(ROW($B$2:$B$501)&lt;&gt;ROW(B970)),""&amp;$A$2:$A$501,"")),""))</f>
        <v/>
      </c>
      <c r="I970" s="29"/>
    </row>
    <row r="971" spans="1:9" x14ac:dyDescent="0.4">
      <c r="A971" s="29">
        <v>970</v>
      </c>
      <c r="B971" s="29"/>
      <c r="C971" s="29"/>
      <c r="D971" s="30"/>
      <c r="E971" s="29"/>
      <c r="F971" s="31"/>
      <c r="G971" s="29" t="str">
        <f>IF('단어 시험장'!E971="❌","❌","")</f>
        <v/>
      </c>
      <c r="H971" s="35" t="str" cm="1">
        <f t="array" ref="H971">IF(B971="","",IF(COUNTIF($B$2:$B$501,B971)&gt;1,"No."&amp;_xlfn.TEXTJOIN(", ",TRUE,IF(($B$2:$B$501=B971)*(ROW($B$2:$B$501)&lt;&gt;ROW(B971)),""&amp;$A$2:$A$501,"")),""))</f>
        <v/>
      </c>
      <c r="I971" s="29"/>
    </row>
    <row r="972" spans="1:9" x14ac:dyDescent="0.4">
      <c r="A972" s="29">
        <v>971</v>
      </c>
      <c r="B972" s="29"/>
      <c r="C972" s="29"/>
      <c r="D972" s="30"/>
      <c r="E972" s="29"/>
      <c r="F972" s="31"/>
      <c r="G972" s="29" t="str">
        <f>IF('단어 시험장'!E972="❌","❌","")</f>
        <v/>
      </c>
      <c r="H972" s="35" t="str" cm="1">
        <f t="array" ref="H972">IF(B972="","",IF(COUNTIF($B$2:$B$501,B972)&gt;1,"No."&amp;_xlfn.TEXTJOIN(", ",TRUE,IF(($B$2:$B$501=B972)*(ROW($B$2:$B$501)&lt;&gt;ROW(B972)),""&amp;$A$2:$A$501,"")),""))</f>
        <v/>
      </c>
      <c r="I972" s="29"/>
    </row>
    <row r="973" spans="1:9" x14ac:dyDescent="0.4">
      <c r="A973" s="29">
        <v>972</v>
      </c>
      <c r="B973" s="29"/>
      <c r="C973" s="29"/>
      <c r="D973" s="30"/>
      <c r="E973" s="29"/>
      <c r="F973" s="31"/>
      <c r="G973" s="29" t="str">
        <f>IF('단어 시험장'!E973="❌","❌","")</f>
        <v/>
      </c>
      <c r="H973" s="35" t="str" cm="1">
        <f t="array" ref="H973">IF(B973="","",IF(COUNTIF($B$2:$B$501,B973)&gt;1,"No."&amp;_xlfn.TEXTJOIN(", ",TRUE,IF(($B$2:$B$501=B973)*(ROW($B$2:$B$501)&lt;&gt;ROW(B973)),""&amp;$A$2:$A$501,"")),""))</f>
        <v/>
      </c>
      <c r="I973" s="29"/>
    </row>
    <row r="974" spans="1:9" x14ac:dyDescent="0.4">
      <c r="A974" s="29">
        <v>973</v>
      </c>
      <c r="B974" s="29"/>
      <c r="C974" s="29"/>
      <c r="D974" s="30"/>
      <c r="E974" s="29"/>
      <c r="F974" s="31"/>
      <c r="G974" s="29" t="str">
        <f>IF('단어 시험장'!E974="❌","❌","")</f>
        <v/>
      </c>
      <c r="H974" s="35" t="str" cm="1">
        <f t="array" ref="H974">IF(B974="","",IF(COUNTIF($B$2:$B$501,B974)&gt;1,"No."&amp;_xlfn.TEXTJOIN(", ",TRUE,IF(($B$2:$B$501=B974)*(ROW($B$2:$B$501)&lt;&gt;ROW(B974)),""&amp;$A$2:$A$501,"")),""))</f>
        <v/>
      </c>
      <c r="I974" s="29"/>
    </row>
    <row r="975" spans="1:9" x14ac:dyDescent="0.4">
      <c r="A975" s="29">
        <v>974</v>
      </c>
      <c r="B975" s="29"/>
      <c r="C975" s="29"/>
      <c r="D975" s="30"/>
      <c r="E975" s="29"/>
      <c r="F975" s="31"/>
      <c r="G975" s="29" t="str">
        <f>IF('단어 시험장'!E975="❌","❌","")</f>
        <v/>
      </c>
      <c r="H975" s="35" t="str" cm="1">
        <f t="array" ref="H975">IF(B975="","",IF(COUNTIF($B$2:$B$501,B975)&gt;1,"No."&amp;_xlfn.TEXTJOIN(", ",TRUE,IF(($B$2:$B$501=B975)*(ROW($B$2:$B$501)&lt;&gt;ROW(B975)),""&amp;$A$2:$A$501,"")),""))</f>
        <v/>
      </c>
      <c r="I975" s="29"/>
    </row>
    <row r="976" spans="1:9" x14ac:dyDescent="0.4">
      <c r="A976" s="29">
        <v>975</v>
      </c>
      <c r="B976" s="29"/>
      <c r="C976" s="29"/>
      <c r="D976" s="30"/>
      <c r="E976" s="29"/>
      <c r="F976" s="31"/>
      <c r="G976" s="29" t="str">
        <f>IF('단어 시험장'!E976="❌","❌","")</f>
        <v/>
      </c>
      <c r="H976" s="35" t="str" cm="1">
        <f t="array" ref="H976">IF(B976="","",IF(COUNTIF($B$2:$B$501,B976)&gt;1,"No."&amp;_xlfn.TEXTJOIN(", ",TRUE,IF(($B$2:$B$501=B976)*(ROW($B$2:$B$501)&lt;&gt;ROW(B976)),""&amp;$A$2:$A$501,"")),""))</f>
        <v/>
      </c>
      <c r="I976" s="29"/>
    </row>
    <row r="977" spans="1:9" x14ac:dyDescent="0.4">
      <c r="A977" s="29">
        <v>976</v>
      </c>
      <c r="B977" s="29"/>
      <c r="C977" s="29"/>
      <c r="D977" s="30"/>
      <c r="E977" s="29"/>
      <c r="F977" s="31"/>
      <c r="G977" s="29" t="str">
        <f>IF('단어 시험장'!E977="❌","❌","")</f>
        <v/>
      </c>
      <c r="H977" s="35" t="str" cm="1">
        <f t="array" ref="H977">IF(B977="","",IF(COUNTIF($B$2:$B$501,B977)&gt;1,"No."&amp;_xlfn.TEXTJOIN(", ",TRUE,IF(($B$2:$B$501=B977)*(ROW($B$2:$B$501)&lt;&gt;ROW(B977)),""&amp;$A$2:$A$501,"")),""))</f>
        <v/>
      </c>
      <c r="I977" s="29"/>
    </row>
    <row r="978" spans="1:9" x14ac:dyDescent="0.4">
      <c r="A978" s="29">
        <v>977</v>
      </c>
      <c r="B978" s="29"/>
      <c r="C978" s="29"/>
      <c r="D978" s="30"/>
      <c r="E978" s="29"/>
      <c r="F978" s="31"/>
      <c r="G978" s="29" t="str">
        <f>IF('단어 시험장'!E978="❌","❌","")</f>
        <v/>
      </c>
      <c r="H978" s="35" t="str" cm="1">
        <f t="array" ref="H978">IF(B978="","",IF(COUNTIF($B$2:$B$501,B978)&gt;1,"No."&amp;_xlfn.TEXTJOIN(", ",TRUE,IF(($B$2:$B$501=B978)*(ROW($B$2:$B$501)&lt;&gt;ROW(B978)),""&amp;$A$2:$A$501,"")),""))</f>
        <v/>
      </c>
      <c r="I978" s="29"/>
    </row>
    <row r="979" spans="1:9" x14ac:dyDescent="0.4">
      <c r="A979" s="29">
        <v>978</v>
      </c>
      <c r="B979" s="29"/>
      <c r="C979" s="29"/>
      <c r="D979" s="30"/>
      <c r="E979" s="29"/>
      <c r="F979" s="31"/>
      <c r="G979" s="29" t="str">
        <f>IF('단어 시험장'!E979="❌","❌","")</f>
        <v/>
      </c>
      <c r="H979" s="35" t="str" cm="1">
        <f t="array" ref="H979">IF(B979="","",IF(COUNTIF($B$2:$B$501,B979)&gt;1,"No."&amp;_xlfn.TEXTJOIN(", ",TRUE,IF(($B$2:$B$501=B979)*(ROW($B$2:$B$501)&lt;&gt;ROW(B979)),""&amp;$A$2:$A$501,"")),""))</f>
        <v/>
      </c>
      <c r="I979" s="29"/>
    </row>
    <row r="980" spans="1:9" x14ac:dyDescent="0.4">
      <c r="A980" s="29">
        <v>979</v>
      </c>
      <c r="B980" s="29"/>
      <c r="C980" s="29"/>
      <c r="D980" s="30"/>
      <c r="E980" s="29"/>
      <c r="F980" s="31"/>
      <c r="G980" s="29" t="str">
        <f>IF('단어 시험장'!E980="❌","❌","")</f>
        <v/>
      </c>
      <c r="H980" s="35" t="str" cm="1">
        <f t="array" ref="H980">IF(B980="","",IF(COUNTIF($B$2:$B$501,B980)&gt;1,"No."&amp;_xlfn.TEXTJOIN(", ",TRUE,IF(($B$2:$B$501=B980)*(ROW($B$2:$B$501)&lt;&gt;ROW(B980)),""&amp;$A$2:$A$501,"")),""))</f>
        <v/>
      </c>
      <c r="I980" s="29"/>
    </row>
    <row r="981" spans="1:9" x14ac:dyDescent="0.4">
      <c r="A981" s="29">
        <v>980</v>
      </c>
      <c r="B981" s="29"/>
      <c r="C981" s="29"/>
      <c r="D981" s="30"/>
      <c r="E981" s="29"/>
      <c r="F981" s="31"/>
      <c r="G981" s="29" t="str">
        <f>IF('단어 시험장'!E981="❌","❌","")</f>
        <v/>
      </c>
      <c r="H981" s="35" t="str" cm="1">
        <f t="array" ref="H981">IF(B981="","",IF(COUNTIF($B$2:$B$501,B981)&gt;1,"No."&amp;_xlfn.TEXTJOIN(", ",TRUE,IF(($B$2:$B$501=B981)*(ROW($B$2:$B$501)&lt;&gt;ROW(B981)),""&amp;$A$2:$A$501,"")),""))</f>
        <v/>
      </c>
      <c r="I981" s="29"/>
    </row>
    <row r="982" spans="1:9" x14ac:dyDescent="0.4">
      <c r="A982" s="29">
        <v>981</v>
      </c>
      <c r="B982" s="29"/>
      <c r="C982" s="29"/>
      <c r="D982" s="30"/>
      <c r="E982" s="29"/>
      <c r="F982" s="31"/>
      <c r="G982" s="29" t="str">
        <f>IF('단어 시험장'!E982="❌","❌","")</f>
        <v/>
      </c>
      <c r="H982" s="35" t="str" cm="1">
        <f t="array" ref="H982">IF(B982="","",IF(COUNTIF($B$2:$B$501,B982)&gt;1,"No."&amp;_xlfn.TEXTJOIN(", ",TRUE,IF(($B$2:$B$501=B982)*(ROW($B$2:$B$501)&lt;&gt;ROW(B982)),""&amp;$A$2:$A$501,"")),""))</f>
        <v/>
      </c>
      <c r="I982" s="29"/>
    </row>
    <row r="983" spans="1:9" x14ac:dyDescent="0.4">
      <c r="A983" s="29">
        <v>982</v>
      </c>
      <c r="B983" s="29"/>
      <c r="C983" s="29"/>
      <c r="D983" s="30"/>
      <c r="E983" s="29"/>
      <c r="F983" s="31"/>
      <c r="G983" s="29" t="str">
        <f>IF('단어 시험장'!E983="❌","❌","")</f>
        <v/>
      </c>
      <c r="H983" s="35" t="str" cm="1">
        <f t="array" ref="H983">IF(B983="","",IF(COUNTIF($B$2:$B$501,B983)&gt;1,"No."&amp;_xlfn.TEXTJOIN(", ",TRUE,IF(($B$2:$B$501=B983)*(ROW($B$2:$B$501)&lt;&gt;ROW(B983)),""&amp;$A$2:$A$501,"")),""))</f>
        <v/>
      </c>
      <c r="I983" s="29"/>
    </row>
    <row r="984" spans="1:9" x14ac:dyDescent="0.4">
      <c r="A984" s="29">
        <v>983</v>
      </c>
      <c r="B984" s="29"/>
      <c r="C984" s="29"/>
      <c r="D984" s="30"/>
      <c r="E984" s="29"/>
      <c r="F984" s="31"/>
      <c r="G984" s="29" t="str">
        <f>IF('단어 시험장'!E984="❌","❌","")</f>
        <v/>
      </c>
      <c r="H984" s="35" t="str" cm="1">
        <f t="array" ref="H984">IF(B984="","",IF(COUNTIF($B$2:$B$501,B984)&gt;1,"No."&amp;_xlfn.TEXTJOIN(", ",TRUE,IF(($B$2:$B$501=B984)*(ROW($B$2:$B$501)&lt;&gt;ROW(B984)),""&amp;$A$2:$A$501,"")),""))</f>
        <v/>
      </c>
      <c r="I984" s="29"/>
    </row>
    <row r="985" spans="1:9" x14ac:dyDescent="0.4">
      <c r="A985" s="29">
        <v>984</v>
      </c>
      <c r="B985" s="29"/>
      <c r="C985" s="29"/>
      <c r="D985" s="30"/>
      <c r="E985" s="29"/>
      <c r="F985" s="31"/>
      <c r="G985" s="29" t="str">
        <f>IF('단어 시험장'!E985="❌","❌","")</f>
        <v/>
      </c>
      <c r="H985" s="35" t="str" cm="1">
        <f t="array" ref="H985">IF(B985="","",IF(COUNTIF($B$2:$B$501,B985)&gt;1,"No."&amp;_xlfn.TEXTJOIN(", ",TRUE,IF(($B$2:$B$501=B985)*(ROW($B$2:$B$501)&lt;&gt;ROW(B985)),""&amp;$A$2:$A$501,"")),""))</f>
        <v/>
      </c>
      <c r="I985" s="29"/>
    </row>
    <row r="986" spans="1:9" x14ac:dyDescent="0.4">
      <c r="A986" s="29">
        <v>985</v>
      </c>
      <c r="B986" s="29"/>
      <c r="C986" s="29"/>
      <c r="D986" s="30"/>
      <c r="E986" s="29"/>
      <c r="F986" s="31"/>
      <c r="G986" s="29" t="str">
        <f>IF('단어 시험장'!E986="❌","❌","")</f>
        <v/>
      </c>
      <c r="H986" s="35" t="str" cm="1">
        <f t="array" ref="H986">IF(B986="","",IF(COUNTIF($B$2:$B$501,B986)&gt;1,"No."&amp;_xlfn.TEXTJOIN(", ",TRUE,IF(($B$2:$B$501=B986)*(ROW($B$2:$B$501)&lt;&gt;ROW(B986)),""&amp;$A$2:$A$501,"")),""))</f>
        <v/>
      </c>
      <c r="I986" s="29"/>
    </row>
    <row r="987" spans="1:9" x14ac:dyDescent="0.4">
      <c r="A987" s="29">
        <v>986</v>
      </c>
      <c r="B987" s="29"/>
      <c r="C987" s="29"/>
      <c r="D987" s="30"/>
      <c r="E987" s="29"/>
      <c r="F987" s="31"/>
      <c r="G987" s="29" t="str">
        <f>IF('단어 시험장'!E987="❌","❌","")</f>
        <v/>
      </c>
      <c r="H987" s="35" t="str" cm="1">
        <f t="array" ref="H987">IF(B987="","",IF(COUNTIF($B$2:$B$501,B987)&gt;1,"No."&amp;_xlfn.TEXTJOIN(", ",TRUE,IF(($B$2:$B$501=B987)*(ROW($B$2:$B$501)&lt;&gt;ROW(B987)),""&amp;$A$2:$A$501,"")),""))</f>
        <v/>
      </c>
      <c r="I987" s="29"/>
    </row>
    <row r="988" spans="1:9" x14ac:dyDescent="0.4">
      <c r="A988" s="29">
        <v>987</v>
      </c>
      <c r="B988" s="29"/>
      <c r="C988" s="29"/>
      <c r="D988" s="30"/>
      <c r="E988" s="29"/>
      <c r="F988" s="31"/>
      <c r="G988" s="29" t="str">
        <f>IF('단어 시험장'!E988="❌","❌","")</f>
        <v/>
      </c>
      <c r="H988" s="35" t="str" cm="1">
        <f t="array" ref="H988">IF(B988="","",IF(COUNTIF($B$2:$B$501,B988)&gt;1,"No."&amp;_xlfn.TEXTJOIN(", ",TRUE,IF(($B$2:$B$501=B988)*(ROW($B$2:$B$501)&lt;&gt;ROW(B988)),""&amp;$A$2:$A$501,"")),""))</f>
        <v/>
      </c>
      <c r="I988" s="29"/>
    </row>
    <row r="989" spans="1:9" x14ac:dyDescent="0.4">
      <c r="A989" s="29">
        <v>988</v>
      </c>
      <c r="B989" s="29"/>
      <c r="C989" s="29"/>
      <c r="D989" s="30"/>
      <c r="E989" s="29"/>
      <c r="F989" s="31"/>
      <c r="G989" s="29" t="str">
        <f>IF('단어 시험장'!E989="❌","❌","")</f>
        <v/>
      </c>
      <c r="H989" s="35" t="str" cm="1">
        <f t="array" ref="H989">IF(B989="","",IF(COUNTIF($B$2:$B$501,B989)&gt;1,"No."&amp;_xlfn.TEXTJOIN(", ",TRUE,IF(($B$2:$B$501=B989)*(ROW($B$2:$B$501)&lt;&gt;ROW(B989)),""&amp;$A$2:$A$501,"")),""))</f>
        <v/>
      </c>
      <c r="I989" s="29"/>
    </row>
    <row r="990" spans="1:9" x14ac:dyDescent="0.4">
      <c r="A990" s="29">
        <v>989</v>
      </c>
      <c r="B990" s="29"/>
      <c r="C990" s="29"/>
      <c r="D990" s="30"/>
      <c r="E990" s="29"/>
      <c r="F990" s="31"/>
      <c r="G990" s="29" t="str">
        <f>IF('단어 시험장'!E990="❌","❌","")</f>
        <v/>
      </c>
      <c r="H990" s="35" t="str" cm="1">
        <f t="array" ref="H990">IF(B990="","",IF(COUNTIF($B$2:$B$501,B990)&gt;1,"No."&amp;_xlfn.TEXTJOIN(", ",TRUE,IF(($B$2:$B$501=B990)*(ROW($B$2:$B$501)&lt;&gt;ROW(B990)),""&amp;$A$2:$A$501,"")),""))</f>
        <v/>
      </c>
      <c r="I990" s="29"/>
    </row>
    <row r="991" spans="1:9" x14ac:dyDescent="0.4">
      <c r="A991" s="29">
        <v>990</v>
      </c>
      <c r="B991" s="29"/>
      <c r="C991" s="29"/>
      <c r="D991" s="30"/>
      <c r="E991" s="29"/>
      <c r="F991" s="31"/>
      <c r="G991" s="29" t="str">
        <f>IF('단어 시험장'!E991="❌","❌","")</f>
        <v/>
      </c>
      <c r="H991" s="35" t="str" cm="1">
        <f t="array" ref="H991">IF(B991="","",IF(COUNTIF($B$2:$B$501,B991)&gt;1,"No."&amp;_xlfn.TEXTJOIN(", ",TRUE,IF(($B$2:$B$501=B991)*(ROW($B$2:$B$501)&lt;&gt;ROW(B991)),""&amp;$A$2:$A$501,"")),""))</f>
        <v/>
      </c>
      <c r="I991" s="29"/>
    </row>
    <row r="992" spans="1:9" x14ac:dyDescent="0.4">
      <c r="A992" s="29">
        <v>991</v>
      </c>
      <c r="B992" s="29"/>
      <c r="C992" s="29"/>
      <c r="D992" s="30"/>
      <c r="E992" s="29"/>
      <c r="F992" s="31"/>
      <c r="G992" s="29" t="str">
        <f>IF('단어 시험장'!E992="❌","❌","")</f>
        <v/>
      </c>
      <c r="H992" s="35" t="str" cm="1">
        <f t="array" ref="H992">IF(B992="","",IF(COUNTIF($B$2:$B$501,B992)&gt;1,"No."&amp;_xlfn.TEXTJOIN(", ",TRUE,IF(($B$2:$B$501=B992)*(ROW($B$2:$B$501)&lt;&gt;ROW(B992)),""&amp;$A$2:$A$501,"")),""))</f>
        <v/>
      </c>
      <c r="I992" s="29"/>
    </row>
    <row r="993" spans="1:9" x14ac:dyDescent="0.4">
      <c r="A993" s="29">
        <v>992</v>
      </c>
      <c r="B993" s="29"/>
      <c r="C993" s="29"/>
      <c r="D993" s="30"/>
      <c r="E993" s="29"/>
      <c r="F993" s="31"/>
      <c r="G993" s="29" t="str">
        <f>IF('단어 시험장'!E993="❌","❌","")</f>
        <v/>
      </c>
      <c r="H993" s="35" t="str" cm="1">
        <f t="array" ref="H993">IF(B993="","",IF(COUNTIF($B$2:$B$501,B993)&gt;1,"No."&amp;_xlfn.TEXTJOIN(", ",TRUE,IF(($B$2:$B$501=B993)*(ROW($B$2:$B$501)&lt;&gt;ROW(B993)),""&amp;$A$2:$A$501,"")),""))</f>
        <v/>
      </c>
      <c r="I993" s="29"/>
    </row>
    <row r="994" spans="1:9" x14ac:dyDescent="0.4">
      <c r="A994" s="29">
        <v>993</v>
      </c>
      <c r="B994" s="29"/>
      <c r="C994" s="29"/>
      <c r="D994" s="30"/>
      <c r="E994" s="29"/>
      <c r="F994" s="31"/>
      <c r="G994" s="29" t="str">
        <f>IF('단어 시험장'!E994="❌","❌","")</f>
        <v/>
      </c>
      <c r="H994" s="35" t="str" cm="1">
        <f t="array" ref="H994">IF(B994="","",IF(COUNTIF($B$2:$B$501,B994)&gt;1,"No."&amp;_xlfn.TEXTJOIN(", ",TRUE,IF(($B$2:$B$501=B994)*(ROW($B$2:$B$501)&lt;&gt;ROW(B994)),""&amp;$A$2:$A$501,"")),""))</f>
        <v/>
      </c>
      <c r="I994" s="29"/>
    </row>
    <row r="995" spans="1:9" x14ac:dyDescent="0.4">
      <c r="A995" s="29">
        <v>994</v>
      </c>
      <c r="B995" s="29"/>
      <c r="C995" s="29"/>
      <c r="D995" s="30"/>
      <c r="E995" s="29"/>
      <c r="F995" s="31"/>
      <c r="G995" s="29" t="str">
        <f>IF('단어 시험장'!E995="❌","❌","")</f>
        <v/>
      </c>
      <c r="H995" s="35" t="str" cm="1">
        <f t="array" ref="H995">IF(B995="","",IF(COUNTIF($B$2:$B$501,B995)&gt;1,"No."&amp;_xlfn.TEXTJOIN(", ",TRUE,IF(($B$2:$B$501=B995)*(ROW($B$2:$B$501)&lt;&gt;ROW(B995)),""&amp;$A$2:$A$501,"")),""))</f>
        <v/>
      </c>
      <c r="I995" s="29"/>
    </row>
    <row r="996" spans="1:9" x14ac:dyDescent="0.4">
      <c r="A996" s="29">
        <v>995</v>
      </c>
      <c r="B996" s="29"/>
      <c r="C996" s="29"/>
      <c r="D996" s="30"/>
      <c r="E996" s="29"/>
      <c r="F996" s="31"/>
      <c r="G996" s="29" t="str">
        <f>IF('단어 시험장'!E996="❌","❌","")</f>
        <v/>
      </c>
      <c r="H996" s="35" t="str" cm="1">
        <f t="array" ref="H996">IF(B996="","",IF(COUNTIF($B$2:$B$501,B996)&gt;1,"No."&amp;_xlfn.TEXTJOIN(", ",TRUE,IF(($B$2:$B$501=B996)*(ROW($B$2:$B$501)&lt;&gt;ROW(B996)),""&amp;$A$2:$A$501,"")),""))</f>
        <v/>
      </c>
      <c r="I996" s="29"/>
    </row>
    <row r="997" spans="1:9" x14ac:dyDescent="0.4">
      <c r="A997" s="29">
        <v>996</v>
      </c>
      <c r="B997" s="29"/>
      <c r="C997" s="29"/>
      <c r="D997" s="30"/>
      <c r="E997" s="29"/>
      <c r="F997" s="31"/>
      <c r="G997" s="29" t="str">
        <f>IF('단어 시험장'!E997="❌","❌","")</f>
        <v/>
      </c>
      <c r="H997" s="35" t="str" cm="1">
        <f t="array" ref="H997">IF(B997="","",IF(COUNTIF($B$2:$B$501,B997)&gt;1,"No."&amp;_xlfn.TEXTJOIN(", ",TRUE,IF(($B$2:$B$501=B997)*(ROW($B$2:$B$501)&lt;&gt;ROW(B997)),""&amp;$A$2:$A$501,"")),""))</f>
        <v/>
      </c>
      <c r="I997" s="29"/>
    </row>
    <row r="998" spans="1:9" x14ac:dyDescent="0.4">
      <c r="A998" s="29">
        <v>997</v>
      </c>
      <c r="B998" s="29"/>
      <c r="C998" s="29"/>
      <c r="D998" s="30"/>
      <c r="E998" s="29"/>
      <c r="F998" s="31"/>
      <c r="G998" s="29" t="str">
        <f>IF('단어 시험장'!E998="❌","❌","")</f>
        <v/>
      </c>
      <c r="H998" s="35" t="str" cm="1">
        <f t="array" ref="H998">IF(B998="","",IF(COUNTIF($B$2:$B$501,B998)&gt;1,"No."&amp;_xlfn.TEXTJOIN(", ",TRUE,IF(($B$2:$B$501=B998)*(ROW($B$2:$B$501)&lt;&gt;ROW(B998)),""&amp;$A$2:$A$501,"")),""))</f>
        <v/>
      </c>
      <c r="I998" s="29"/>
    </row>
    <row r="999" spans="1:9" x14ac:dyDescent="0.4">
      <c r="A999" s="29">
        <v>998</v>
      </c>
      <c r="B999" s="29"/>
      <c r="C999" s="29"/>
      <c r="D999" s="30"/>
      <c r="E999" s="29"/>
      <c r="F999" s="31"/>
      <c r="G999" s="29" t="str">
        <f>IF('단어 시험장'!E999="❌","❌","")</f>
        <v/>
      </c>
      <c r="H999" s="35" t="str" cm="1">
        <f t="array" ref="H999">IF(B999="","",IF(COUNTIF($B$2:$B$501,B999)&gt;1,"No."&amp;_xlfn.TEXTJOIN(", ",TRUE,IF(($B$2:$B$501=B999)*(ROW($B$2:$B$501)&lt;&gt;ROW(B999)),""&amp;$A$2:$A$501,"")),""))</f>
        <v/>
      </c>
      <c r="I999" s="29"/>
    </row>
    <row r="1000" spans="1:9" x14ac:dyDescent="0.4">
      <c r="A1000" s="29">
        <v>999</v>
      </c>
      <c r="B1000" s="29"/>
      <c r="C1000" s="29"/>
      <c r="D1000" s="30"/>
      <c r="E1000" s="29"/>
      <c r="F1000" s="31"/>
      <c r="G1000" s="29" t="str">
        <f>IF('단어 시험장'!E1000="❌","❌","")</f>
        <v/>
      </c>
      <c r="H1000" s="35" t="str" cm="1">
        <f t="array" ref="H1000">IF(B1000="","",IF(COUNTIF($B$2:$B$501,B1000)&gt;1,"No."&amp;_xlfn.TEXTJOIN(", ",TRUE,IF(($B$2:$B$501=B1000)*(ROW($B$2:$B$501)&lt;&gt;ROW(B1000)),""&amp;$A$2:$A$501,"")),""))</f>
        <v/>
      </c>
      <c r="I1000" s="29"/>
    </row>
    <row r="1001" spans="1:9" x14ac:dyDescent="0.4">
      <c r="A1001" s="29">
        <v>1000</v>
      </c>
      <c r="B1001" s="29"/>
      <c r="C1001" s="29"/>
      <c r="D1001" s="30"/>
      <c r="E1001" s="29"/>
      <c r="F1001" s="31"/>
      <c r="G1001" s="29" t="str">
        <f>IF('단어 시험장'!E1001="❌","❌","")</f>
        <v/>
      </c>
      <c r="H1001" s="35" t="str" cm="1">
        <f t="array" ref="H1001">IF(B1001="","",IF(COUNTIF($B$2:$B$501,B1001)&gt;1,"No."&amp;_xlfn.TEXTJOIN(", ",TRUE,IF(($B$2:$B$501=B1001)*(ROW($B$2:$B$501)&lt;&gt;ROW(B1001)),""&amp;$A$2:$A$501,"")),""))</f>
        <v/>
      </c>
      <c r="I1001" s="29"/>
    </row>
  </sheetData>
  <phoneticPr fontId="1" type="noConversion"/>
  <dataValidations count="1">
    <dataValidation type="list" allowBlank="1" showInputMessage="1" showErrorMessage="1" promptTitle="암기 체크" prompt="✅ 암기완료, ❌ 미암기, 🔄 복습필요" sqref="E2:E501" xr:uid="{62BA5E04-39F6-490C-AF77-CE6E0816174D}">
      <formula1>"✅,❌,🔄"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18E5-2B97-44DE-A466-A06F590093FD}">
  <dimension ref="A1:F501"/>
  <sheetViews>
    <sheetView workbookViewId="0">
      <pane ySplit="1" topLeftCell="A2" activePane="bottomLeft" state="frozen"/>
      <selection pane="bottomLeft" activeCell="D3" sqref="D3"/>
    </sheetView>
  </sheetViews>
  <sheetFormatPr defaultRowHeight="17.399999999999999" x14ac:dyDescent="0.4"/>
  <cols>
    <col min="1" max="1" width="6.69921875" customWidth="1"/>
    <col min="2" max="2" width="28.296875" customWidth="1"/>
    <col min="3" max="4" width="21.69921875" customWidth="1"/>
    <col min="5" max="5" width="9.19921875" customWidth="1"/>
    <col min="6" max="6" width="15.796875" customWidth="1"/>
  </cols>
  <sheetData>
    <row r="1" spans="1:6" ht="18" thickBot="1" x14ac:dyDescent="0.45">
      <c r="A1" s="9" t="s">
        <v>2</v>
      </c>
      <c r="B1" s="9" t="s">
        <v>67</v>
      </c>
      <c r="C1" s="9" t="s">
        <v>68</v>
      </c>
      <c r="D1" s="9" t="s">
        <v>69</v>
      </c>
      <c r="E1" s="9" t="s">
        <v>70</v>
      </c>
      <c r="F1" s="9" t="s">
        <v>71</v>
      </c>
    </row>
    <row r="2" spans="1:6" ht="21" x14ac:dyDescent="0.4">
      <c r="A2" s="13">
        <f>ROW()-1</f>
        <v>1</v>
      </c>
      <c r="B2" s="13" t="str">
        <f>IF('영어 단어장'!C2="","",'영어 단어장'!C2)</f>
        <v>유창한, 설득력 있는</v>
      </c>
      <c r="C2" s="14" t="s">
        <v>6</v>
      </c>
      <c r="D2" s="21" t="str">
        <f>IF(OR(C2="",'영어 단어장'!B2=""),"",IF(EXACT(LOWER(TRIM(C2)),LOWER(TRIM('영어 단어장'!B2))),"",'영어 단어장'!B2))</f>
        <v/>
      </c>
      <c r="E2" s="15" t="str">
        <f>IF(OR(B2="",C2=""),"",IF(EXACT(LOWER(TRIM(C2)),LOWER(TRIM('영어 단어장'!B2))),"⭕","❌"))</f>
        <v>⭕</v>
      </c>
      <c r="F2" s="16"/>
    </row>
    <row r="3" spans="1:6" ht="21" x14ac:dyDescent="0.4">
      <c r="A3" s="10">
        <f t="shared" ref="A3:A66" si="0">ROW()-1</f>
        <v>2</v>
      </c>
      <c r="B3" s="10" t="str">
        <f>IF('영어 단어장'!C3="","",'영어 단어장'!C3)</f>
        <v>평범한, 일상적인</v>
      </c>
      <c r="C3" s="11" t="s">
        <v>7</v>
      </c>
      <c r="D3" s="21" t="str">
        <f>IF(OR(C3="",'영어 단어장'!B3=""),"",IF(EXACT(LOWER(TRIM(C3)),LOWER(TRIM('영어 단어장'!B3))),"",'영어 단어장'!B3))</f>
        <v/>
      </c>
      <c r="E3" s="15" t="str">
        <f>IF(OR(B3="",C3=""),"",IF(EXACT(LOWER(TRIM(C3)),LOWER(TRIM('영어 단어장'!B3))),"⭕","❌"))</f>
        <v>⭕</v>
      </c>
      <c r="F3" s="12"/>
    </row>
    <row r="4" spans="1:6" ht="21" x14ac:dyDescent="0.4">
      <c r="A4" s="10">
        <f t="shared" si="0"/>
        <v>3</v>
      </c>
      <c r="B4" s="10" t="str">
        <f>IF('영어 단어장'!C4="","",'영어 단어장'!C4)</f>
        <v>정밀 검토하다</v>
      </c>
      <c r="C4" s="11" t="s">
        <v>815</v>
      </c>
      <c r="D4" s="21" t="str">
        <f>IF(OR(C4="",'영어 단어장'!B4=""),"",IF(EXACT(LOWER(TRIM(C4)),LOWER(TRIM('영어 단어장'!B4))),"",'영어 단어장'!B4))</f>
        <v>scurtinize</v>
      </c>
      <c r="E4" s="15" t="str">
        <f>IF(OR(B4="",C4=""),"",IF(EXACT(LOWER(TRIM(C4)),LOWER(TRIM('영어 단어장'!B4))),"⭕","❌"))</f>
        <v>❌</v>
      </c>
      <c r="F4" s="12"/>
    </row>
    <row r="5" spans="1:6" ht="21" x14ac:dyDescent="0.4">
      <c r="A5" s="10">
        <f t="shared" si="0"/>
        <v>4</v>
      </c>
      <c r="B5" s="10" t="str">
        <f>IF('영어 단어장'!C5="","",'영어 단어장'!C5)</f>
        <v>실용적인</v>
      </c>
      <c r="C5" s="11" t="s">
        <v>9</v>
      </c>
      <c r="D5" s="21" t="str">
        <f>IF(OR(C5="",'영어 단어장'!B5=""),"",IF(EXACT(LOWER(TRIM(C5)),LOWER(TRIM('영어 단어장'!B5))),"",'영어 단어장'!B5))</f>
        <v/>
      </c>
      <c r="E5" s="15" t="str">
        <f>IF(OR(B5="",C5=""),"",IF(EXACT(LOWER(TRIM(C5)),LOWER(TRIM('영어 단어장'!B5))),"⭕","❌"))</f>
        <v>⭕</v>
      </c>
      <c r="F5" s="12"/>
    </row>
    <row r="6" spans="1:6" ht="21" x14ac:dyDescent="0.4">
      <c r="A6" s="10">
        <f t="shared" si="0"/>
        <v>5</v>
      </c>
      <c r="B6" s="10" t="str">
        <f>IF('영어 단어장'!C6="","",'영어 단어장'!C6)</f>
        <v>애매한, 모호한</v>
      </c>
      <c r="C6" s="11" t="s">
        <v>10</v>
      </c>
      <c r="D6" s="21" t="str">
        <f>IF(OR(C6="",'영어 단어장'!B6=""),"",IF(EXACT(LOWER(TRIM(C6)),LOWER(TRIM('영어 단어장'!B6))),"",'영어 단어장'!B6))</f>
        <v/>
      </c>
      <c r="E6" s="15" t="str">
        <f>IF(OR(B6="",C6=""),"",IF(EXACT(LOWER(TRIM(C6)),LOWER(TRIM('영어 단어장'!B6))),"⭕","❌"))</f>
        <v>⭕</v>
      </c>
      <c r="F6" s="12"/>
    </row>
    <row r="7" spans="1:6" ht="21" x14ac:dyDescent="0.4">
      <c r="A7" s="10">
        <f t="shared" si="0"/>
        <v>6</v>
      </c>
      <c r="B7" s="10" t="str">
        <f>IF('영어 단어장'!C7="","",'영어 단어장'!C7)</f>
        <v>변덕스러운</v>
      </c>
      <c r="C7" s="11"/>
      <c r="D7" s="21" t="str">
        <f>IF(OR(C7="",'영어 단어장'!B7=""),"",IF(EXACT(LOWER(TRIM(C7)),LOWER(TRIM('영어 단어장'!B7))),"",'영어 단어장'!B7))</f>
        <v/>
      </c>
      <c r="E7" s="15" t="str">
        <f>IF(OR(B7="",C7=""),"",IF(EXACT(LOWER(TRIM(C7)),LOWER(TRIM('영어 단어장'!B7))),"⭕","❌"))</f>
        <v/>
      </c>
      <c r="F7" s="12"/>
    </row>
    <row r="8" spans="1:6" ht="21" x14ac:dyDescent="0.4">
      <c r="A8" s="10">
        <f t="shared" si="0"/>
        <v>7</v>
      </c>
      <c r="B8" s="10" t="str">
        <f>IF('영어 단어장'!C8="","",'영어 단어장'!C8)</f>
        <v>숙고하다</v>
      </c>
      <c r="C8" s="11"/>
      <c r="D8" s="21" t="str">
        <f>IF(OR(C8="",'영어 단어장'!B8=""),"",IF(EXACT(LOWER(TRIM(C8)),LOWER(TRIM('영어 단어장'!B8))),"",'영어 단어장'!B8))</f>
        <v/>
      </c>
      <c r="E8" s="15" t="str">
        <f>IF(OR(B8="",C8=""),"",IF(EXACT(LOWER(TRIM(C8)),LOWER(TRIM('영어 단어장'!B8))),"⭕","❌"))</f>
        <v/>
      </c>
      <c r="F8" s="12"/>
    </row>
    <row r="9" spans="1:6" ht="21" x14ac:dyDescent="0.4">
      <c r="A9" s="10">
        <f t="shared" si="0"/>
        <v>8</v>
      </c>
      <c r="B9" s="10" t="str">
        <f>IF('영어 단어장'!C9="","",'영어 단어장'!C9)</f>
        <v>꼼꼼한, 세심한</v>
      </c>
      <c r="C9" s="11"/>
      <c r="D9" s="21" t="str">
        <f>IF(OR(C9="",'영어 단어장'!B9=""),"",IF(EXACT(LOWER(TRIM(C9)),LOWER(TRIM('영어 단어장'!B9))),"",'영어 단어장'!B9))</f>
        <v/>
      </c>
      <c r="E9" s="15" t="str">
        <f>IF(OR(B9="",C9=""),"",IF(EXACT(LOWER(TRIM(C9)),LOWER(TRIM('영어 단어장'!B9))),"⭕","❌"))</f>
        <v/>
      </c>
      <c r="F9" s="12"/>
    </row>
    <row r="10" spans="1:6" ht="21" x14ac:dyDescent="0.4">
      <c r="A10" s="10">
        <f t="shared" si="0"/>
        <v>9</v>
      </c>
      <c r="B10" s="10" t="str">
        <f>IF('영어 단어장'!C10="","",'영어 단어장'!C10)</f>
        <v>영구적인</v>
      </c>
      <c r="C10" s="11"/>
      <c r="D10" s="21" t="str">
        <f>IF(OR(C10="",'영어 단어장'!B10=""),"",IF(EXACT(LOWER(TRIM(C10)),LOWER(TRIM('영어 단어장'!B10))),"",'영어 단어장'!B10))</f>
        <v/>
      </c>
      <c r="E10" s="15" t="str">
        <f>IF(OR(B10="",C10=""),"",IF(EXACT(LOWER(TRIM(C10)),LOWER(TRIM('영어 단어장'!B10))),"⭕","❌"))</f>
        <v/>
      </c>
      <c r="F10" s="12"/>
    </row>
    <row r="11" spans="1:6" ht="21" x14ac:dyDescent="0.4">
      <c r="A11" s="10">
        <f t="shared" si="0"/>
        <v>10</v>
      </c>
      <c r="B11" s="10" t="str">
        <f>IF('영어 단어장'!C11="","",'영어 단어장'!C11)</f>
        <v>중복된, 불필요한</v>
      </c>
      <c r="C11" s="11"/>
      <c r="D11" s="21" t="str">
        <f>IF(OR(C11="",'영어 단어장'!B11=""),"",IF(EXACT(LOWER(TRIM(C11)),LOWER(TRIM('영어 단어장'!B11))),"",'영어 단어장'!B11))</f>
        <v/>
      </c>
      <c r="E11" s="15" t="str">
        <f>IF(OR(B11="",C11=""),"",IF(EXACT(LOWER(TRIM(C11)),LOWER(TRIM('영어 단어장'!B11))),"⭕","❌"))</f>
        <v/>
      </c>
      <c r="F11" s="12"/>
    </row>
    <row r="12" spans="1:6" ht="21" x14ac:dyDescent="0.4">
      <c r="A12" s="10">
        <f t="shared" si="0"/>
        <v>11</v>
      </c>
      <c r="B12" s="10" t="str">
        <f>IF('영어 단어장'!C12="","",'영어 단어장'!C12)</f>
        <v>적절한, 충분한</v>
      </c>
      <c r="C12" s="11"/>
      <c r="D12" s="21" t="str">
        <f>IF(OR(C12="",'영어 단어장'!B12=""),"",IF(EXACT(LOWER(TRIM(C12)),LOWER(TRIM('영어 단어장'!B12))),"",'영어 단어장'!B12))</f>
        <v/>
      </c>
      <c r="E12" s="15" t="str">
        <f>IF(OR(B12="",C12=""),"",IF(EXACT(LOWER(TRIM(C12)),LOWER(TRIM('영어 단어장'!B12))),"⭕","❌"))</f>
        <v/>
      </c>
      <c r="F12" s="12"/>
    </row>
    <row r="13" spans="1:6" ht="21" x14ac:dyDescent="0.4">
      <c r="A13" s="10">
        <f t="shared" si="0"/>
        <v>12</v>
      </c>
      <c r="B13" s="10" t="str">
        <f>IF('영어 단어장'!C13="","",'영어 단어장'!C13)</f>
        <v>꺼리는</v>
      </c>
      <c r="C13" s="11"/>
      <c r="D13" s="21" t="str">
        <f>IF(OR(C13="",'영어 단어장'!B13=""),"",IF(EXACT(LOWER(TRIM(C13)),LOWER(TRIM('영어 단어장'!B13))),"",'영어 단어장'!B13))</f>
        <v/>
      </c>
      <c r="E13" s="15" t="str">
        <f>IF(OR(B13="",C13=""),"",IF(EXACT(LOWER(TRIM(C13)),LOWER(TRIM('영어 단어장'!B13))),"⭕","❌"))</f>
        <v/>
      </c>
      <c r="F13" s="12"/>
    </row>
    <row r="14" spans="1:6" ht="21" x14ac:dyDescent="0.4">
      <c r="A14" s="10">
        <f t="shared" si="0"/>
        <v>13</v>
      </c>
      <c r="B14" s="10" t="str">
        <f>IF('영어 단어장'!C14="","",'영어 단어장'!C14)</f>
        <v>진실한, 진짜의</v>
      </c>
      <c r="C14" s="11"/>
      <c r="D14" s="21" t="str">
        <f>IF(OR(C14="",'영어 단어장'!B14=""),"",IF(EXACT(LOWER(TRIM(C14)),LOWER(TRIM('영어 단어장'!B14))),"",'영어 단어장'!B14))</f>
        <v/>
      </c>
      <c r="E14" s="15" t="str">
        <f>IF(OR(B14="",C14=""),"",IF(EXACT(LOWER(TRIM(C14)),LOWER(TRIM('영어 단어장'!B14))),"⭕","❌"))</f>
        <v/>
      </c>
      <c r="F14" s="12"/>
    </row>
    <row r="15" spans="1:6" ht="21" x14ac:dyDescent="0.4">
      <c r="A15" s="10">
        <f t="shared" si="0"/>
        <v>14</v>
      </c>
      <c r="B15" s="10" t="str">
        <f>IF('영어 단어장'!C15="","",'영어 단어장'!C15)</f>
        <v>일시적인</v>
      </c>
      <c r="C15" s="11"/>
      <c r="D15" s="21" t="str">
        <f>IF(OR(C15="",'영어 단어장'!B15=""),"",IF(EXACT(LOWER(TRIM(C15)),LOWER(TRIM('영어 단어장'!B15))),"",'영어 단어장'!B15))</f>
        <v/>
      </c>
      <c r="E15" s="15" t="str">
        <f>IF(OR(B15="",C15=""),"",IF(EXACT(LOWER(TRIM(C15)),LOWER(TRIM('영어 단어장'!B15))),"⭕","❌"))</f>
        <v/>
      </c>
      <c r="F15" s="12"/>
    </row>
    <row r="16" spans="1:6" ht="21" x14ac:dyDescent="0.4">
      <c r="A16" s="10">
        <f t="shared" si="0"/>
        <v>15</v>
      </c>
      <c r="B16" s="10" t="str">
        <f>IF('영어 단어장'!C16="","",'영어 단어장'!C16)</f>
        <v>효율적인</v>
      </c>
      <c r="C16" s="11"/>
      <c r="D16" s="21" t="str">
        <f>IF(OR(C16="",'영어 단어장'!B16=""),"",IF(EXACT(LOWER(TRIM(C16)),LOWER(TRIM('영어 단어장'!B16))),"",'영어 단어장'!B16))</f>
        <v/>
      </c>
      <c r="E16" s="15" t="str">
        <f>IF(OR(B16="",C16=""),"",IF(EXACT(LOWER(TRIM(C16)),LOWER(TRIM('영어 단어장'!B16))),"⭕","❌"))</f>
        <v/>
      </c>
      <c r="F16" s="12"/>
    </row>
    <row r="17" spans="1:6" ht="21" x14ac:dyDescent="0.4">
      <c r="A17" s="10">
        <f t="shared" si="0"/>
        <v>16</v>
      </c>
      <c r="B17" s="10" t="str">
        <f>IF('영어 단어장'!C17="","",'영어 단어장'!C17)</f>
        <v>유지하다</v>
      </c>
      <c r="C17" s="11"/>
      <c r="D17" s="21" t="str">
        <f>IF(OR(C17="",'영어 단어장'!B17=""),"",IF(EXACT(LOWER(TRIM(C17)),LOWER(TRIM('영어 단어장'!B17))),"",'영어 단어장'!B17))</f>
        <v/>
      </c>
      <c r="E17" s="15" t="str">
        <f>IF(OR(B17="",C17=""),"",IF(EXACT(LOWER(TRIM(C17)),LOWER(TRIM('영어 단어장'!B17))),"⭕","❌"))</f>
        <v/>
      </c>
      <c r="F17" s="12"/>
    </row>
    <row r="18" spans="1:6" ht="21" x14ac:dyDescent="0.4">
      <c r="A18" s="10">
        <f t="shared" si="0"/>
        <v>17</v>
      </c>
      <c r="B18" s="10" t="str">
        <f>IF('영어 단어장'!C18="","",'영어 단어장'!C18)</f>
        <v>대략의, 근사치의</v>
      </c>
      <c r="C18" s="11"/>
      <c r="D18" s="21" t="str">
        <f>IF(OR(C18="",'영어 단어장'!B18=""),"",IF(EXACT(LOWER(TRIM(C18)),LOWER(TRIM('영어 단어장'!B18))),"",'영어 단어장'!B18))</f>
        <v/>
      </c>
      <c r="E18" s="15" t="str">
        <f>IF(OR(B18="",C18=""),"",IF(EXACT(LOWER(TRIM(C18)),LOWER(TRIM('영어 단어장'!B18))),"⭕","❌"))</f>
        <v/>
      </c>
      <c r="F18" s="12"/>
    </row>
    <row r="19" spans="1:6" ht="21" x14ac:dyDescent="0.4">
      <c r="A19" s="10">
        <f t="shared" si="0"/>
        <v>18</v>
      </c>
      <c r="B19" s="10" t="str">
        <f>IF('영어 단어장'!C19="","",'영어 단어장'!C19)</f>
        <v>명백한, 분명한</v>
      </c>
      <c r="C19" s="11"/>
      <c r="D19" s="21" t="str">
        <f>IF(OR(C19="",'영어 단어장'!B19=""),"",IF(EXACT(LOWER(TRIM(C19)),LOWER(TRIM('영어 단어장'!B19))),"",'영어 단어장'!B19))</f>
        <v/>
      </c>
      <c r="E19" s="15" t="str">
        <f>IF(OR(B19="",C19=""),"",IF(EXACT(LOWER(TRIM(C19)),LOWER(TRIM('영어 단어장'!B19))),"⭕","❌"))</f>
        <v/>
      </c>
      <c r="F19" s="12"/>
    </row>
    <row r="20" spans="1:6" ht="21" x14ac:dyDescent="0.4">
      <c r="A20" s="10">
        <f t="shared" si="0"/>
        <v>19</v>
      </c>
      <c r="B20" s="10" t="str">
        <f>IF('영어 단어장'!C20="","",'영어 단어장'!C20)</f>
        <v>다양한</v>
      </c>
      <c r="C20" s="11"/>
      <c r="D20" s="21" t="str">
        <f>IF(OR(C20="",'영어 단어장'!B20=""),"",IF(EXACT(LOWER(TRIM(C20)),LOWER(TRIM('영어 단어장'!B20))),"",'영어 단어장'!B20))</f>
        <v/>
      </c>
      <c r="E20" s="15" t="str">
        <f>IF(OR(B20="",C20=""),"",IF(EXACT(LOWER(TRIM(C20)),LOWER(TRIM('영어 단어장'!B20))),"⭕","❌"))</f>
        <v/>
      </c>
      <c r="F20" s="12"/>
    </row>
    <row r="21" spans="1:6" ht="21" x14ac:dyDescent="0.4">
      <c r="A21" s="10">
        <f t="shared" si="0"/>
        <v>20</v>
      </c>
      <c r="B21" s="10" t="str">
        <f>IF('영어 단어장'!C21="","",'영어 단어장'!C21)</f>
        <v>보상하다</v>
      </c>
      <c r="C21" s="11"/>
      <c r="D21" s="21" t="str">
        <f>IF(OR(C21="",'영어 단어장'!B21=""),"",IF(EXACT(LOWER(TRIM(C21)),LOWER(TRIM('영어 단어장'!B21))),"",'영어 단어장'!B21))</f>
        <v/>
      </c>
      <c r="E21" s="15" t="str">
        <f>IF(OR(B21="",C21=""),"",IF(EXACT(LOWER(TRIM(C21)),LOWER(TRIM('영어 단어장'!B21))),"⭕","❌"))</f>
        <v/>
      </c>
      <c r="F21" s="12"/>
    </row>
    <row r="22" spans="1:6" ht="21" x14ac:dyDescent="0.4">
      <c r="A22" s="10">
        <f t="shared" si="0"/>
        <v>21</v>
      </c>
      <c r="B22" s="10" t="str">
        <f>IF('영어 단어장'!C22="","",'영어 단어장'!C22)</f>
        <v>풍부한, 많은</v>
      </c>
      <c r="C22" s="11"/>
      <c r="D22" s="21" t="str">
        <f>IF(OR(C22="",'영어 단어장'!B22=""),"",IF(EXACT(LOWER(TRIM(C22)),LOWER(TRIM('영어 단어장'!B22))),"",'영어 단어장'!B22))</f>
        <v/>
      </c>
      <c r="E22" s="15" t="str">
        <f>IF(OR(B22="",C22=""),"",IF(EXACT(LOWER(TRIM(C22)),LOWER(TRIM('영어 단어장'!B22))),"⭕","❌"))</f>
        <v/>
      </c>
      <c r="F22" s="12"/>
    </row>
    <row r="23" spans="1:6" ht="21" x14ac:dyDescent="0.4">
      <c r="A23" s="10">
        <f t="shared" si="0"/>
        <v>22</v>
      </c>
      <c r="B23" s="10" t="str">
        <f>IF('영어 단어장'!C23="","",'영어 단어장'!C23)</f>
        <v>인지하다</v>
      </c>
      <c r="C23" s="11"/>
      <c r="D23" s="21" t="str">
        <f>IF(OR(C23="",'영어 단어장'!B23=""),"",IF(EXACT(LOWER(TRIM(C23)),LOWER(TRIM('영어 단어장'!B23))),"",'영어 단어장'!B23))</f>
        <v/>
      </c>
      <c r="E23" s="15" t="str">
        <f>IF(OR(B23="",C23=""),"",IF(EXACT(LOWER(TRIM(C23)),LOWER(TRIM('영어 단어장'!B23))),"⭕","❌"))</f>
        <v/>
      </c>
      <c r="F23" s="12"/>
    </row>
    <row r="24" spans="1:6" ht="21" x14ac:dyDescent="0.4">
      <c r="A24" s="10">
        <f t="shared" si="0"/>
        <v>23</v>
      </c>
      <c r="B24" s="10" t="str">
        <f>IF('영어 단어장'!C24="","",'영어 단어장'!C24)</f>
        <v>설립하다</v>
      </c>
      <c r="C24" s="11"/>
      <c r="D24" s="21" t="str">
        <f>IF(OR(C24="",'영어 단어장'!B24=""),"",IF(EXACT(LOWER(TRIM(C24)),LOWER(TRIM('영어 단어장'!B24))),"",'영어 단어장'!B24))</f>
        <v/>
      </c>
      <c r="E24" s="15" t="str">
        <f>IF(OR(B24="",C24=""),"",IF(EXACT(LOWER(TRIM(C24)),LOWER(TRIM('영어 단어장'!B24))),"⭕","❌"))</f>
        <v/>
      </c>
      <c r="F24" s="12"/>
    </row>
    <row r="25" spans="1:6" ht="21" x14ac:dyDescent="0.4">
      <c r="A25" s="10">
        <f t="shared" si="0"/>
        <v>24</v>
      </c>
      <c r="B25" s="10" t="str">
        <f>IF('영어 단어장'!C25="","",'영어 단어장'!C25)</f>
        <v>장애물</v>
      </c>
      <c r="C25" s="11"/>
      <c r="D25" s="21" t="str">
        <f>IF(OR(C25="",'영어 단어장'!B25=""),"",IF(EXACT(LOWER(TRIM(C25)),LOWER(TRIM('영어 단어장'!B25))),"",'영어 단어장'!B25))</f>
        <v/>
      </c>
      <c r="E25" s="15" t="str">
        <f>IF(OR(B25="",C25=""),"",IF(EXACT(LOWER(TRIM(C25)),LOWER(TRIM('영어 단어장'!B25))),"⭕","❌"))</f>
        <v/>
      </c>
      <c r="F25" s="12"/>
    </row>
    <row r="26" spans="1:6" ht="21" x14ac:dyDescent="0.4">
      <c r="A26" s="10">
        <f t="shared" si="0"/>
        <v>25</v>
      </c>
      <c r="B26" s="10" t="str">
        <f>IF('영어 단어장'!C26="","",'영어 단어장'!C26)</f>
        <v>요구하다</v>
      </c>
      <c r="C26" s="11"/>
      <c r="D26" s="21" t="str">
        <f>IF(OR(C26="",'영어 단어장'!B26=""),"",IF(EXACT(LOWER(TRIM(C26)),LOWER(TRIM('영어 단어장'!B26))),"",'영어 단어장'!B26))</f>
        <v/>
      </c>
      <c r="E26" s="15" t="str">
        <f>IF(OR(B26="",C26=""),"",IF(EXACT(LOWER(TRIM(C26)),LOWER(TRIM('영어 단어장'!B26))),"⭕","❌"))</f>
        <v/>
      </c>
      <c r="F26" s="12"/>
    </row>
    <row r="27" spans="1:6" ht="21" x14ac:dyDescent="0.4">
      <c r="A27" s="10">
        <f t="shared" si="0"/>
        <v>26</v>
      </c>
      <c r="B27" s="10" t="str">
        <f>IF('영어 단어장'!C27="","",'영어 단어장'!C27)</f>
        <v>이익, 이윤</v>
      </c>
      <c r="C27" s="11"/>
      <c r="D27" s="21" t="str">
        <f>IF(OR(C27="",'영어 단어장'!B27=""),"",IF(EXACT(LOWER(TRIM(C27)),LOWER(TRIM('영어 단어장'!B27))),"",'영어 단어장'!B27))</f>
        <v/>
      </c>
      <c r="E27" s="15" t="str">
        <f>IF(OR(B27="",C27=""),"",IF(EXACT(LOWER(TRIM(C27)),LOWER(TRIM('영어 단어장'!B27))),"⭕","❌"))</f>
        <v/>
      </c>
      <c r="F27" s="12"/>
    </row>
    <row r="28" spans="1:6" ht="21" x14ac:dyDescent="0.4">
      <c r="A28" s="10">
        <f t="shared" si="0"/>
        <v>27</v>
      </c>
      <c r="B28" s="10" t="str">
        <f>IF('영어 단어장'!C28="","",'영어 단어장'!C28)</f>
        <v>기여하다</v>
      </c>
      <c r="C28" s="11"/>
      <c r="D28" s="21" t="str">
        <f>IF(OR(C28="",'영어 단어장'!B28=""),"",IF(EXACT(LOWER(TRIM(C28)),LOWER(TRIM('영어 단어장'!B28))),"",'영어 단어장'!B28))</f>
        <v/>
      </c>
      <c r="E28" s="15" t="str">
        <f>IF(OR(B28="",C28=""),"",IF(EXACT(LOWER(TRIM(C28)),LOWER(TRIM('영어 단어장'!B28))),"⭕","❌"))</f>
        <v/>
      </c>
      <c r="F28" s="12"/>
    </row>
    <row r="29" spans="1:6" ht="21" x14ac:dyDescent="0.4">
      <c r="A29" s="10">
        <f t="shared" si="0"/>
        <v>28</v>
      </c>
      <c r="B29" s="10" t="str">
        <f>IF('영어 단어장'!C29="","",'영어 단어장'!C29)</f>
        <v>주요한</v>
      </c>
      <c r="C29" s="11"/>
      <c r="D29" s="21" t="str">
        <f>IF(OR(C29="",'영어 단어장'!B29=""),"",IF(EXACT(LOWER(TRIM(C29)),LOWER(TRIM('영어 단어장'!B29))),"",'영어 단어장'!B29))</f>
        <v/>
      </c>
      <c r="E29" s="15" t="str">
        <f>IF(OR(B29="",C29=""),"",IF(EXACT(LOWER(TRIM(C29)),LOWER(TRIM('영어 단어장'!B29))),"⭕","❌"))</f>
        <v/>
      </c>
      <c r="F29" s="12"/>
    </row>
    <row r="30" spans="1:6" ht="21" x14ac:dyDescent="0.4">
      <c r="A30" s="10">
        <f t="shared" si="0"/>
        <v>29</v>
      </c>
      <c r="B30" s="10" t="str">
        <f>IF('영어 단어장'!C30="","",'영어 단어장'!C30)</f>
        <v>나타내다</v>
      </c>
      <c r="C30" s="11"/>
      <c r="D30" s="21" t="str">
        <f>IF(OR(C30="",'영어 단어장'!B30=""),"",IF(EXACT(LOWER(TRIM(C30)),LOWER(TRIM('영어 단어장'!B30))),"",'영어 단어장'!B30))</f>
        <v/>
      </c>
      <c r="E30" s="15" t="str">
        <f>IF(OR(B30="",C30=""),"",IF(EXACT(LOWER(TRIM(C30)),LOWER(TRIM('영어 단어장'!B30))),"⭕","❌"))</f>
        <v/>
      </c>
      <c r="F30" s="12"/>
    </row>
    <row r="31" spans="1:6" ht="21" x14ac:dyDescent="0.4">
      <c r="A31" s="10">
        <f t="shared" si="0"/>
        <v>30</v>
      </c>
      <c r="B31" s="10" t="str">
        <f>IF('영어 단어장'!C31="","",'영어 단어장'!C31)</f>
        <v>얻다</v>
      </c>
      <c r="C31" s="11"/>
      <c r="D31" s="21" t="str">
        <f>IF(OR(C31="",'영어 단어장'!B31=""),"",IF(EXACT(LOWER(TRIM(C31)),LOWER(TRIM('영어 단어장'!B31))),"",'영어 단어장'!B31))</f>
        <v/>
      </c>
      <c r="E31" s="15" t="str">
        <f>IF(OR(B31="",C31=""),"",IF(EXACT(LOWER(TRIM(C31)),LOWER(TRIM('영어 단어장'!B31))),"⭕","❌"))</f>
        <v/>
      </c>
      <c r="F31" s="12"/>
    </row>
    <row r="32" spans="1:6" ht="21" x14ac:dyDescent="0.4">
      <c r="A32" s="10">
        <f t="shared" si="0"/>
        <v>31</v>
      </c>
      <c r="B32" s="10" t="str">
        <f>IF('영어 단어장'!C32="","",'영어 단어장'!C32)</f>
        <v>감사하다</v>
      </c>
      <c r="C32" s="11"/>
      <c r="D32" s="21" t="str">
        <f>IF(OR(C32="",'영어 단어장'!B32=""),"",IF(EXACT(LOWER(TRIM(C32)),LOWER(TRIM('영어 단어장'!B32))),"",'영어 단어장'!B32))</f>
        <v/>
      </c>
      <c r="E32" s="15" t="str">
        <f>IF(OR(B32="",C32=""),"",IF(EXACT(LOWER(TRIM(C32)),LOWER(TRIM('영어 단어장'!B32))),"⭕","❌"))</f>
        <v/>
      </c>
      <c r="F32" s="12"/>
    </row>
    <row r="33" spans="1:6" ht="21" x14ac:dyDescent="0.4">
      <c r="A33" s="10">
        <f t="shared" si="0"/>
        <v>32</v>
      </c>
      <c r="B33" s="10" t="str">
        <f>IF('영어 단어장'!C33="","",'영어 단어장'!C33)</f>
        <v>집중하다</v>
      </c>
      <c r="C33" s="11"/>
      <c r="D33" s="21" t="str">
        <f>IF(OR(C33="",'영어 단어장'!B33=""),"",IF(EXACT(LOWER(TRIM(C33)),LOWER(TRIM('영어 단어장'!B33))),"",'영어 단어장'!B33))</f>
        <v/>
      </c>
      <c r="E33" s="15" t="str">
        <f>IF(OR(B33="",C33=""),"",IF(EXACT(LOWER(TRIM(C33)),LOWER(TRIM('영어 단어장'!B33))),"⭕","❌"))</f>
        <v/>
      </c>
      <c r="F33" s="12"/>
    </row>
    <row r="34" spans="1:6" ht="21" x14ac:dyDescent="0.4">
      <c r="A34" s="10">
        <f t="shared" si="0"/>
        <v>33</v>
      </c>
      <c r="B34" s="10" t="str">
        <f>IF('영어 단어장'!C34="","",'영어 단어장'!C34)</f>
        <v>결정하다</v>
      </c>
      <c r="C34" s="11"/>
      <c r="D34" s="21" t="str">
        <f>IF(OR(C34="",'영어 단어장'!B34=""),"",IF(EXACT(LOWER(TRIM(C34)),LOWER(TRIM('영어 단어장'!B34))),"",'영어 단어장'!B34))</f>
        <v/>
      </c>
      <c r="E34" s="15" t="str">
        <f>IF(OR(B34="",C34=""),"",IF(EXACT(LOWER(TRIM(C34)),LOWER(TRIM('영어 단어장'!B34))),"⭕","❌"))</f>
        <v/>
      </c>
      <c r="F34" s="12"/>
    </row>
    <row r="35" spans="1:6" ht="21" x14ac:dyDescent="0.4">
      <c r="A35" s="10">
        <f t="shared" si="0"/>
        <v>34</v>
      </c>
      <c r="B35" s="10" t="str">
        <f>IF('영어 단어장'!C35="","",'영어 단어장'!C35)</f>
        <v>제거하다</v>
      </c>
      <c r="C35" s="11"/>
      <c r="D35" s="21" t="str">
        <f>IF(OR(C35="",'영어 단어장'!B35=""),"",IF(EXACT(LOWER(TRIM(C35)),LOWER(TRIM('영어 단어장'!B35))),"",'영어 단어장'!B35))</f>
        <v/>
      </c>
      <c r="E35" s="15" t="str">
        <f>IF(OR(B35="",C35=""),"",IF(EXACT(LOWER(TRIM(C35)),LOWER(TRIM('영어 단어장'!B35))),"⭕","❌"))</f>
        <v/>
      </c>
      <c r="F35" s="12"/>
    </row>
    <row r="36" spans="1:6" ht="21" x14ac:dyDescent="0.4">
      <c r="A36" s="10">
        <f t="shared" si="0"/>
        <v>35</v>
      </c>
      <c r="B36" s="10" t="str">
        <f>IF('영어 단어장'!C36="","",'영어 단어장'!C36)</f>
        <v>유연한</v>
      </c>
      <c r="C36" s="11"/>
      <c r="D36" s="21" t="str">
        <f>IF(OR(C36="",'영어 단어장'!B36=""),"",IF(EXACT(LOWER(TRIM(C36)),LOWER(TRIM('영어 단어장'!B36))),"",'영어 단어장'!B36))</f>
        <v/>
      </c>
      <c r="E36" s="15" t="str">
        <f>IF(OR(B36="",C36=""),"",IF(EXACT(LOWER(TRIM(C36)),LOWER(TRIM('영어 단어장'!B36))),"⭕","❌"))</f>
        <v/>
      </c>
      <c r="F36" s="12"/>
    </row>
    <row r="37" spans="1:6" ht="21" x14ac:dyDescent="0.4">
      <c r="A37" s="10">
        <f t="shared" si="0"/>
        <v>36</v>
      </c>
      <c r="B37" s="10" t="str">
        <f>IF('영어 단어장'!C37="","",'영어 단어장'!C37)</f>
        <v>실행하다</v>
      </c>
      <c r="C37" s="11"/>
      <c r="D37" s="21" t="str">
        <f>IF(OR(C37="",'영어 단어장'!B37=""),"",IF(EXACT(LOWER(TRIM(C37)),LOWER(TRIM('영어 단어장'!B37))),"",'영어 단어장'!B37))</f>
        <v/>
      </c>
      <c r="E37" s="15" t="str">
        <f>IF(OR(B37="",C37=""),"",IF(EXACT(LOWER(TRIM(C37)),LOWER(TRIM('영어 단어장'!B37))),"⭕","❌"))</f>
        <v/>
      </c>
      <c r="F37" s="12"/>
    </row>
    <row r="38" spans="1:6" ht="21" x14ac:dyDescent="0.4">
      <c r="A38" s="10">
        <f t="shared" si="0"/>
        <v>37</v>
      </c>
      <c r="B38" s="10" t="str">
        <f>IF('영어 단어장'!C38="","",'영어 단어장'!C38)</f>
        <v>정당화하다, 변명하다</v>
      </c>
      <c r="C38" s="11"/>
      <c r="D38" s="21" t="str">
        <f>IF(OR(C38="",'영어 단어장'!B38=""),"",IF(EXACT(LOWER(TRIM(C38)),LOWER(TRIM('영어 단어장'!B38))),"",'영어 단어장'!B38))</f>
        <v/>
      </c>
      <c r="E38" s="15" t="str">
        <f>IF(OR(B38="",C38=""),"",IF(EXACT(LOWER(TRIM(C38)),LOWER(TRIM('영어 단어장'!B38))),"⭕","❌"))</f>
        <v/>
      </c>
      <c r="F38" s="12"/>
    </row>
    <row r="39" spans="1:6" ht="21" x14ac:dyDescent="0.4">
      <c r="A39" s="10">
        <f t="shared" si="0"/>
        <v>38</v>
      </c>
      <c r="B39" s="10" t="str">
        <f>IF('영어 단어장'!C39="","",'영어 단어장'!C39)</f>
        <v>협상하다</v>
      </c>
      <c r="C39" s="11"/>
      <c r="D39" s="21" t="str">
        <f>IF(OR(C39="",'영어 단어장'!B39=""),"",IF(EXACT(LOWER(TRIM(C39)),LOWER(TRIM('영어 단어장'!B39))),"",'영어 단어장'!B39))</f>
        <v/>
      </c>
      <c r="E39" s="15" t="str">
        <f>IF(OR(B39="",C39=""),"",IF(EXACT(LOWER(TRIM(C39)),LOWER(TRIM('영어 단어장'!B39))),"⭕","❌"))</f>
        <v/>
      </c>
      <c r="F39" s="12"/>
    </row>
    <row r="40" spans="1:6" ht="21" x14ac:dyDescent="0.4">
      <c r="A40" s="10">
        <f t="shared" si="0"/>
        <v>39</v>
      </c>
      <c r="B40" s="10" t="str">
        <f>IF('영어 단어장'!C40="","",'영어 단어장'!C40)</f>
        <v>우선순위를 정하다</v>
      </c>
      <c r="C40" s="11"/>
      <c r="D40" s="21" t="str">
        <f>IF(OR(C40="",'영어 단어장'!B40=""),"",IF(EXACT(LOWER(TRIM(C40)),LOWER(TRIM('영어 단어장'!B40))),"",'영어 단어장'!B40))</f>
        <v/>
      </c>
      <c r="E40" s="15" t="str">
        <f>IF(OR(B40="",C40=""),"",IF(EXACT(LOWER(TRIM(C40)),LOWER(TRIM('영어 단어장'!B40))),"⭕","❌"))</f>
        <v/>
      </c>
      <c r="F40" s="12"/>
    </row>
    <row r="41" spans="1:6" ht="21" x14ac:dyDescent="0.4">
      <c r="A41" s="10">
        <f t="shared" si="0"/>
        <v>40</v>
      </c>
      <c r="B41" s="10" t="str">
        <f>IF('영어 단어장'!C41="","",'영어 단어장'!C41)</f>
        <v>유지하다</v>
      </c>
      <c r="C41" s="11"/>
      <c r="D41" s="21" t="str">
        <f>IF(OR(C41="",'영어 단어장'!B41=""),"",IF(EXACT(LOWER(TRIM(C41)),LOWER(TRIM('영어 단어장'!B41))),"",'영어 단어장'!B41))</f>
        <v/>
      </c>
      <c r="E41" s="15" t="str">
        <f>IF(OR(B41="",C41=""),"",IF(EXACT(LOWER(TRIM(C41)),LOWER(TRIM('영어 단어장'!B41))),"⭕","❌"))</f>
        <v/>
      </c>
      <c r="F41" s="12"/>
    </row>
    <row r="42" spans="1:6" ht="21" x14ac:dyDescent="0.4">
      <c r="A42" s="10">
        <f t="shared" si="0"/>
        <v>41</v>
      </c>
      <c r="B42" s="10" t="str">
        <f>IF('영어 단어장'!C42="","",'영어 단어장'!C42)</f>
        <v>가정하다</v>
      </c>
      <c r="C42" s="11"/>
      <c r="D42" s="21" t="str">
        <f>IF(OR(C42="",'영어 단어장'!B42=""),"",IF(EXACT(LOWER(TRIM(C42)),LOWER(TRIM('영어 단어장'!B42))),"",'영어 단어장'!B42))</f>
        <v/>
      </c>
      <c r="E42" s="15" t="str">
        <f>IF(OR(B42="",C42=""),"",IF(EXACT(LOWER(TRIM(C42)),LOWER(TRIM('영어 단어장'!B42))),"⭕","❌"))</f>
        <v/>
      </c>
      <c r="F42" s="12"/>
    </row>
    <row r="43" spans="1:6" ht="21" x14ac:dyDescent="0.4">
      <c r="A43" s="10">
        <f t="shared" si="0"/>
        <v>42</v>
      </c>
      <c r="B43" s="10" t="str">
        <f>IF('영어 단어장'!C43="","",'영어 단어장'!C43)</f>
        <v>능력, 수용력</v>
      </c>
      <c r="C43" s="11"/>
      <c r="D43" s="21" t="str">
        <f>IF(OR(C43="",'영어 단어장'!B43=""),"",IF(EXACT(LOWER(TRIM(C43)),LOWER(TRIM('영어 단어장'!B43))),"",'영어 단어장'!B43))</f>
        <v/>
      </c>
      <c r="E43" s="15" t="str">
        <f>IF(OR(B43="",C43=""),"",IF(EXACT(LOWER(TRIM(C43)),LOWER(TRIM('영어 단어장'!B43))),"⭕","❌"))</f>
        <v/>
      </c>
      <c r="F43" s="12"/>
    </row>
    <row r="44" spans="1:6" ht="21" x14ac:dyDescent="0.4">
      <c r="A44" s="10">
        <f t="shared" si="0"/>
        <v>43</v>
      </c>
      <c r="B44" s="10" t="str">
        <f>IF('영어 단어장'!C44="","",'영어 단어장'!C44)</f>
        <v>증명하다</v>
      </c>
      <c r="C44" s="11"/>
      <c r="D44" s="21" t="str">
        <f>IF(OR(C44="",'영어 단어장'!B44=""),"",IF(EXACT(LOWER(TRIM(C44)),LOWER(TRIM('영어 단어장'!B44))),"",'영어 단어장'!B44))</f>
        <v/>
      </c>
      <c r="E44" s="15" t="str">
        <f>IF(OR(B44="",C44=""),"",IF(EXACT(LOWER(TRIM(C44)),LOWER(TRIM('영어 단어장'!B44))),"⭕","❌"))</f>
        <v/>
      </c>
      <c r="F44" s="12"/>
    </row>
    <row r="45" spans="1:6" ht="21" x14ac:dyDescent="0.4">
      <c r="A45" s="10">
        <f t="shared" si="0"/>
        <v>44</v>
      </c>
      <c r="B45" s="10" t="str">
        <f>IF('영어 단어장'!C45="","",'영어 단어장'!C45)</f>
        <v>결국</v>
      </c>
      <c r="C45" s="11"/>
      <c r="D45" s="21" t="str">
        <f>IF(OR(C45="",'영어 단어장'!B45=""),"",IF(EXACT(LOWER(TRIM(C45)),LOWER(TRIM('영어 단어장'!B45))),"",'영어 단어장'!B45))</f>
        <v/>
      </c>
      <c r="E45" s="15" t="str">
        <f>IF(OR(B45="",C45=""),"",IF(EXACT(LOWER(TRIM(C45)),LOWER(TRIM('영어 단어장'!B45))),"⭕","❌"))</f>
        <v/>
      </c>
      <c r="F45" s="12"/>
    </row>
    <row r="46" spans="1:6" ht="21" x14ac:dyDescent="0.4">
      <c r="A46" s="10">
        <f t="shared" si="0"/>
        <v>45</v>
      </c>
      <c r="B46" s="10" t="str">
        <f>IF('영어 단어장'!C46="","",'영어 단어장'!C46)</f>
        <v>게다가, 더욱이</v>
      </c>
      <c r="C46" s="11"/>
      <c r="D46" s="21" t="str">
        <f>IF(OR(C46="",'영어 단어장'!B46=""),"",IF(EXACT(LOWER(TRIM(C46)),LOWER(TRIM('영어 단어장'!B46))),"",'영어 단어장'!B46))</f>
        <v/>
      </c>
      <c r="E46" s="15" t="str">
        <f>IF(OR(B46="",C46=""),"",IF(EXACT(LOWER(TRIM(C46)),LOWER(TRIM('영어 단어장'!B46))),"⭕","❌"))</f>
        <v/>
      </c>
      <c r="F46" s="12"/>
    </row>
    <row r="47" spans="1:6" ht="21" x14ac:dyDescent="0.4">
      <c r="A47" s="10">
        <f t="shared" si="0"/>
        <v>46</v>
      </c>
      <c r="B47" s="10" t="str">
        <f>IF('영어 단어장'!C47="","",'영어 단어장'!C47)</f>
        <v>즉시</v>
      </c>
      <c r="C47" s="11"/>
      <c r="D47" s="21" t="str">
        <f>IF(OR(C47="",'영어 단어장'!B47=""),"",IF(EXACT(LOWER(TRIM(C47)),LOWER(TRIM('영어 단어장'!B47))),"",'영어 단어장'!B47))</f>
        <v/>
      </c>
      <c r="E47" s="15" t="str">
        <f>IF(OR(B47="",C47=""),"",IF(EXACT(LOWER(TRIM(C47)),LOWER(TRIM('영어 단어장'!B47))),"⭕","❌"))</f>
        <v/>
      </c>
      <c r="F47" s="12"/>
    </row>
    <row r="48" spans="1:6" ht="21" x14ac:dyDescent="0.4">
      <c r="A48" s="10">
        <f t="shared" si="0"/>
        <v>47</v>
      </c>
      <c r="B48" s="10" t="str">
        <f>IF('영어 단어장'!C48="","",'영어 단어장'!C48)</f>
        <v>최소의</v>
      </c>
      <c r="C48" s="11"/>
      <c r="D48" s="21" t="str">
        <f>IF(OR(C48="",'영어 단어장'!B48=""),"",IF(EXACT(LOWER(TRIM(C48)),LOWER(TRIM('영어 단어장'!B48))),"",'영어 단어장'!B48))</f>
        <v/>
      </c>
      <c r="E48" s="15" t="str">
        <f>IF(OR(B48="",C48=""),"",IF(EXACT(LOWER(TRIM(C48)),LOWER(TRIM('영어 단어장'!B48))),"⭕","❌"))</f>
        <v/>
      </c>
      <c r="F48" s="12"/>
    </row>
    <row r="49" spans="1:6" ht="21" x14ac:dyDescent="0.4">
      <c r="A49" s="10">
        <f t="shared" si="0"/>
        <v>48</v>
      </c>
      <c r="B49" s="10" t="str">
        <f>IF('영어 단어장'!C49="","",'영어 단어장'!C49)</f>
        <v>관점, 시각</v>
      </c>
      <c r="C49" s="11"/>
      <c r="D49" s="21" t="str">
        <f>IF(OR(C49="",'영어 단어장'!B49=""),"",IF(EXACT(LOWER(TRIM(C49)),LOWER(TRIM('영어 단어장'!B49))),"",'영어 단어장'!B49))</f>
        <v/>
      </c>
      <c r="E49" s="15" t="str">
        <f>IF(OR(B49="",C49=""),"",IF(EXACT(LOWER(TRIM(C49)),LOWER(TRIM('영어 단어장'!B49))),"⭕","❌"))</f>
        <v/>
      </c>
      <c r="F49" s="12"/>
    </row>
    <row r="50" spans="1:6" ht="21" x14ac:dyDescent="0.4">
      <c r="A50" s="10">
        <f t="shared" si="0"/>
        <v>49</v>
      </c>
      <c r="B50" s="10" t="str">
        <f>IF('영어 단어장'!C50="","",'영어 단어장'!C50)</f>
        <v>상당한, 실질적인</v>
      </c>
      <c r="C50" s="11"/>
      <c r="D50" s="21" t="str">
        <f>IF(OR(C50="",'영어 단어장'!B50=""),"",IF(EXACT(LOWER(TRIM(C50)),LOWER(TRIM('영어 단어장'!B50))),"",'영어 단어장'!B50))</f>
        <v/>
      </c>
      <c r="E50" s="15" t="str">
        <f>IF(OR(B50="",C50=""),"",IF(EXACT(LOWER(TRIM(C50)),LOWER(TRIM('영어 단어장'!B50))),"⭕","❌"))</f>
        <v/>
      </c>
      <c r="F50" s="12"/>
    </row>
    <row r="51" spans="1:6" ht="21" x14ac:dyDescent="0.4">
      <c r="A51" s="10">
        <f t="shared" si="0"/>
        <v>50</v>
      </c>
      <c r="B51" s="10" t="str">
        <f>IF('영어 단어장'!C51="","",'영어 단어장'!C51)</f>
        <v>겪다, 경험하다</v>
      </c>
      <c r="C51" s="11"/>
      <c r="D51" s="21" t="str">
        <f>IF(OR(C51="",'영어 단어장'!B51=""),"",IF(EXACT(LOWER(TRIM(C51)),LOWER(TRIM('영어 단어장'!B51))),"",'영어 단어장'!B51))</f>
        <v/>
      </c>
      <c r="E51" s="15" t="str">
        <f>IF(OR(B51="",C51=""),"",IF(EXACT(LOWER(TRIM(C51)),LOWER(TRIM('영어 단어장'!B51))),"⭕","❌"))</f>
        <v/>
      </c>
      <c r="F51" s="12"/>
    </row>
    <row r="52" spans="1:6" ht="21" x14ac:dyDescent="0.4">
      <c r="A52" s="10">
        <f t="shared" si="0"/>
        <v>51</v>
      </c>
      <c r="B52" s="10" t="str">
        <f>IF('영어 단어장'!C52="","",'영어 단어장'!C52)</f>
        <v>인정하다, 승인하다</v>
      </c>
      <c r="C52" s="11"/>
      <c r="D52" s="21" t="str">
        <f>IF(OR(C52="",'영어 단어장'!B52=""),"",IF(EXACT(LOWER(TRIM(C52)),LOWER(TRIM('영어 단어장'!B52))),"",'영어 단어장'!B52))</f>
        <v/>
      </c>
      <c r="E52" s="15" t="str">
        <f>IF(OR(B52="",C52=""),"",IF(EXACT(LOWER(TRIM(C52)),LOWER(TRIM('영어 단어장'!B52))),"⭕","❌"))</f>
        <v/>
      </c>
      <c r="F52" s="12"/>
    </row>
    <row r="53" spans="1:6" ht="21" x14ac:dyDescent="0.4">
      <c r="A53" s="10">
        <f t="shared" si="0"/>
        <v>52</v>
      </c>
      <c r="B53" s="10" t="str">
        <f>IF('영어 단어장'!C53="","",'영어 단어장'!C53)</f>
        <v>유능한</v>
      </c>
      <c r="C53" s="11"/>
      <c r="D53" s="21" t="str">
        <f>IF(OR(C53="",'영어 단어장'!B53=""),"",IF(EXACT(LOWER(TRIM(C53)),LOWER(TRIM('영어 단어장'!B53))),"",'영어 단어장'!B53))</f>
        <v/>
      </c>
      <c r="E53" s="15" t="str">
        <f>IF(OR(B53="",C53=""),"",IF(EXACT(LOWER(TRIM(C53)),LOWER(TRIM('영어 단어장'!B53))),"⭕","❌"))</f>
        <v/>
      </c>
      <c r="F53" s="12"/>
    </row>
    <row r="54" spans="1:6" ht="21" x14ac:dyDescent="0.4">
      <c r="A54" s="10">
        <f t="shared" si="0"/>
        <v>53</v>
      </c>
      <c r="B54" s="10" t="str">
        <f>IF('영어 단어장'!C54="","",'영어 단어장'!C54)</f>
        <v>구별, 차이, 탁월함</v>
      </c>
      <c r="C54" s="11"/>
      <c r="D54" s="21" t="str">
        <f>IF(OR(C54="",'영어 단어장'!B54=""),"",IF(EXACT(LOWER(TRIM(C54)),LOWER(TRIM('영어 단어장'!B54))),"",'영어 단어장'!B54))</f>
        <v/>
      </c>
      <c r="E54" s="15" t="str">
        <f>IF(OR(B54="",C54=""),"",IF(EXACT(LOWER(TRIM(C54)),LOWER(TRIM('영어 단어장'!B54))),"⭕","❌"))</f>
        <v/>
      </c>
      <c r="F54" s="12"/>
    </row>
    <row r="55" spans="1:6" ht="21" x14ac:dyDescent="0.4">
      <c r="A55" s="10">
        <f t="shared" si="0"/>
        <v>54</v>
      </c>
      <c r="B55" s="10" t="str">
        <f>IF('영어 단어장'!C55="","",'영어 단어장'!C55)</f>
        <v>향상시키다</v>
      </c>
      <c r="C55" s="11"/>
      <c r="D55" s="21" t="str">
        <f>IF(OR(C55="",'영어 단어장'!B55=""),"",IF(EXACT(LOWER(TRIM(C55)),LOWER(TRIM('영어 단어장'!B55))),"",'영어 단어장'!B55))</f>
        <v/>
      </c>
      <c r="E55" s="15" t="str">
        <f>IF(OR(B55="",C55=""),"",IF(EXACT(LOWER(TRIM(C55)),LOWER(TRIM('영어 단어장'!B55))),"⭕","❌"))</f>
        <v/>
      </c>
      <c r="F55" s="12"/>
    </row>
    <row r="56" spans="1:6" ht="21" x14ac:dyDescent="0.4">
      <c r="A56" s="10">
        <f t="shared" si="0"/>
        <v>55</v>
      </c>
      <c r="B56" s="10" t="str">
        <f>IF('영어 단어장'!C56="","",'영어 단어장'!C56)</f>
        <v>기본적인</v>
      </c>
      <c r="C56" s="11"/>
      <c r="D56" s="21" t="str">
        <f>IF(OR(C56="",'영어 단어장'!B56=""),"",IF(EXACT(LOWER(TRIM(C56)),LOWER(TRIM('영어 단어장'!B56))),"",'영어 단어장'!B56))</f>
        <v/>
      </c>
      <c r="E56" s="15" t="str">
        <f>IF(OR(B56="",C56=""),"",IF(EXACT(LOWER(TRIM(C56)),LOWER(TRIM('영어 단어장'!B56))),"⭕","❌"))</f>
        <v/>
      </c>
      <c r="F56" s="12"/>
    </row>
    <row r="57" spans="1:6" ht="21" x14ac:dyDescent="0.4">
      <c r="A57" s="10">
        <f t="shared" si="0"/>
        <v>56</v>
      </c>
      <c r="B57" s="10" t="str">
        <f>IF('영어 단어장'!C57="","",'영어 단어장'!C57)</f>
        <v>불가피한</v>
      </c>
      <c r="C57" s="11"/>
      <c r="D57" s="21" t="str">
        <f>IF(OR(C57="",'영어 단어장'!B57=""),"",IF(EXACT(LOWER(TRIM(C57)),LOWER(TRIM('영어 단어장'!B57))),"",'영어 단어장'!B57))</f>
        <v/>
      </c>
      <c r="E57" s="15" t="str">
        <f>IF(OR(B57="",C57=""),"",IF(EXACT(LOWER(TRIM(C57)),LOWER(TRIM('영어 단어장'!B57))),"⭕","❌"))</f>
        <v/>
      </c>
      <c r="F57" s="12"/>
    </row>
    <row r="58" spans="1:6" ht="21" x14ac:dyDescent="0.4">
      <c r="A58" s="10">
        <f t="shared" si="0"/>
        <v>57</v>
      </c>
      <c r="B58" s="10" t="str">
        <f>IF('영어 단어장'!C58="","",'영어 단어장'!C58)</f>
        <v>적당한</v>
      </c>
      <c r="C58" s="11"/>
      <c r="D58" s="21" t="str">
        <f>IF(OR(C58="",'영어 단어장'!B58=""),"",IF(EXACT(LOWER(TRIM(C58)),LOWER(TRIM('영어 단어장'!B58))),"",'영어 단어장'!B58))</f>
        <v/>
      </c>
      <c r="E58" s="15" t="str">
        <f>IF(OR(B58="",C58=""),"",IF(EXACT(LOWER(TRIM(C58)),LOWER(TRIM('영어 단어장'!B58))),"⭕","❌"))</f>
        <v/>
      </c>
      <c r="F58" s="12"/>
    </row>
    <row r="59" spans="1:6" ht="21" x14ac:dyDescent="0.4">
      <c r="A59" s="10">
        <f t="shared" si="0"/>
        <v>58</v>
      </c>
      <c r="B59" s="10" t="str">
        <f>IF('영어 단어장'!C59="","",'영어 단어장'!C59)</f>
        <v>비율</v>
      </c>
      <c r="C59" s="11"/>
      <c r="D59" s="21" t="str">
        <f>IF(OR(C59="",'영어 단어장'!B59=""),"",IF(EXACT(LOWER(TRIM(C59)),LOWER(TRIM('영어 단어장'!B59))),"",'영어 단어장'!B59))</f>
        <v/>
      </c>
      <c r="E59" s="15" t="str">
        <f>IF(OR(B59="",C59=""),"",IF(EXACT(LOWER(TRIM(C59)),LOWER(TRIM('영어 단어장'!B59))),"⭕","❌"))</f>
        <v/>
      </c>
      <c r="F59" s="12"/>
    </row>
    <row r="60" spans="1:6" ht="21" x14ac:dyDescent="0.4">
      <c r="A60" s="10">
        <f t="shared" si="0"/>
        <v>59</v>
      </c>
      <c r="B60" s="10" t="str">
        <f>IF('영어 단어장'!C60="","",'영어 단어장'!C60)</f>
        <v>후속의, 그 다음의</v>
      </c>
      <c r="C60" s="11"/>
      <c r="D60" s="21" t="str">
        <f>IF(OR(C60="",'영어 단어장'!B60=""),"",IF(EXACT(LOWER(TRIM(C60)),LOWER(TRIM('영어 단어장'!B60))),"",'영어 단어장'!B60))</f>
        <v/>
      </c>
      <c r="E60" s="15" t="str">
        <f>IF(OR(B60="",C60=""),"",IF(EXACT(LOWER(TRIM(C60)),LOWER(TRIM('영어 단어장'!B60))),"⭕","❌"))</f>
        <v/>
      </c>
      <c r="F60" s="12"/>
    </row>
    <row r="61" spans="1:6" ht="21" x14ac:dyDescent="0.4">
      <c r="A61" s="10">
        <f t="shared" si="0"/>
        <v>60</v>
      </c>
      <c r="B61" s="10" t="str">
        <f>IF('영어 단어장'!C61="","",'영어 단어장'!C61)</f>
        <v>유효한, 타당한</v>
      </c>
      <c r="C61" s="11"/>
      <c r="D61" s="21" t="str">
        <f>IF(OR(C61="",'영어 단어장'!B61=""),"",IF(EXACT(LOWER(TRIM(C61)),LOWER(TRIM('영어 단어장'!B61))),"",'영어 단어장'!B61))</f>
        <v/>
      </c>
      <c r="E61" s="15" t="str">
        <f>IF(OR(B61="",C61=""),"",IF(EXACT(LOWER(TRIM(C61)),LOWER(TRIM('영어 단어장'!B61))),"⭕","❌"))</f>
        <v/>
      </c>
      <c r="F61" s="12"/>
    </row>
    <row r="62" spans="1:6" ht="21" x14ac:dyDescent="0.4">
      <c r="A62" s="10">
        <f t="shared" si="0"/>
        <v>61</v>
      </c>
      <c r="B62" s="10" t="str">
        <f>IF('영어 단어장'!C62="","",'영어 단어장'!C62)</f>
        <v>현대의</v>
      </c>
      <c r="C62" s="11"/>
      <c r="D62" s="21" t="str">
        <f>IF(OR(C62="",'영어 단어장'!B62=""),"",IF(EXACT(LOWER(TRIM(C62)),LOWER(TRIM('영어 단어장'!B62))),"",'영어 단어장'!B62))</f>
        <v/>
      </c>
      <c r="E62" s="15" t="str">
        <f>IF(OR(B62="",C62=""),"",IF(EXACT(LOWER(TRIM(C62)),LOWER(TRIM('영어 단어장'!B62))),"⭕","❌"))</f>
        <v/>
      </c>
      <c r="F62" s="12"/>
    </row>
    <row r="63" spans="1:6" ht="21" x14ac:dyDescent="0.4">
      <c r="A63" s="10">
        <f t="shared" si="0"/>
        <v>62</v>
      </c>
      <c r="B63" s="10" t="str">
        <f>IF('영어 단어장'!C63="","",'영어 단어장'!C63)</f>
        <v>분배하다</v>
      </c>
      <c r="C63" s="11"/>
      <c r="D63" s="21" t="str">
        <f>IF(OR(C63="",'영어 단어장'!B63=""),"",IF(EXACT(LOWER(TRIM(C63)),LOWER(TRIM('영어 단어장'!B63))),"",'영어 단어장'!B63))</f>
        <v/>
      </c>
      <c r="E63" s="15" t="str">
        <f>IF(OR(B63="",C63=""),"",IF(EXACT(LOWER(TRIM(C63)),LOWER(TRIM('영어 단어장'!B63))),"⭕","❌"))</f>
        <v/>
      </c>
      <c r="F63" s="12"/>
    </row>
    <row r="64" spans="1:6" ht="21" x14ac:dyDescent="0.4">
      <c r="A64" s="10">
        <f t="shared" si="0"/>
        <v>63</v>
      </c>
      <c r="B64" s="10" t="str">
        <f>IF('영어 단어장'!C64="","",'영어 단어장'!C64)</f>
        <v>명확한</v>
      </c>
      <c r="C64" s="11"/>
      <c r="D64" s="21" t="str">
        <f>IF(OR(C64="",'영어 단어장'!B64=""),"",IF(EXACT(LOWER(TRIM(C64)),LOWER(TRIM('영어 단어장'!B64))),"",'영어 단어장'!B64))</f>
        <v/>
      </c>
      <c r="E64" s="15" t="str">
        <f>IF(OR(B64="",C64=""),"",IF(EXACT(LOWER(TRIM(C64)),LOWER(TRIM('영어 단어장'!B64))),"⭕","❌"))</f>
        <v/>
      </c>
      <c r="F64" s="12"/>
    </row>
    <row r="65" spans="1:6" ht="21" x14ac:dyDescent="0.4">
      <c r="A65" s="10">
        <f t="shared" si="0"/>
        <v>64</v>
      </c>
      <c r="B65" s="10" t="str">
        <f>IF('영어 단어장'!C65="","",'영어 단어장'!C65)</f>
        <v>생성하다</v>
      </c>
      <c r="C65" s="11"/>
      <c r="D65" s="21" t="str">
        <f>IF(OR(C65="",'영어 단어장'!B65=""),"",IF(EXACT(LOWER(TRIM(C65)),LOWER(TRIM('영어 단어장'!B65))),"",'영어 단어장'!B65))</f>
        <v/>
      </c>
      <c r="E65" s="15" t="str">
        <f>IF(OR(B65="",C65=""),"",IF(EXACT(LOWER(TRIM(C65)),LOWER(TRIM('영어 단어장'!B65))),"⭕","❌"))</f>
        <v/>
      </c>
      <c r="F65" s="12"/>
    </row>
    <row r="66" spans="1:6" ht="21" x14ac:dyDescent="0.4">
      <c r="A66" s="10">
        <f t="shared" si="0"/>
        <v>65</v>
      </c>
      <c r="B66" s="10" t="str">
        <f>IF('영어 단어장'!C66="","",'영어 단어장'!C66)</f>
        <v>진실성, 정직성</v>
      </c>
      <c r="C66" s="11"/>
      <c r="D66" s="21" t="str">
        <f>IF(OR(C66="",'영어 단어장'!B66=""),"",IF(EXACT(LOWER(TRIM(C66)),LOWER(TRIM('영어 단어장'!B66))),"",'영어 단어장'!B66))</f>
        <v/>
      </c>
      <c r="E66" s="15" t="str">
        <f>IF(OR(B66="",C66=""),"",IF(EXACT(LOWER(TRIM(C66)),LOWER(TRIM('영어 단어장'!B66))),"⭕","❌"))</f>
        <v/>
      </c>
      <c r="F66" s="12"/>
    </row>
    <row r="67" spans="1:6" ht="21" x14ac:dyDescent="0.4">
      <c r="A67" s="10">
        <f t="shared" ref="A67:A130" si="1">ROW()-1</f>
        <v>66</v>
      </c>
      <c r="B67" s="10" t="str">
        <f>IF('영어 단어장'!C67="","",'영어 단어장'!C67)</f>
        <v>주목할만한, 현저한</v>
      </c>
      <c r="C67" s="11"/>
      <c r="D67" s="21" t="str">
        <f>IF(OR(C67="",'영어 단어장'!B67=""),"",IF(EXACT(LOWER(TRIM(C67)),LOWER(TRIM('영어 단어장'!B67))),"",'영어 단어장'!B67))</f>
        <v/>
      </c>
      <c r="E67" s="15" t="str">
        <f>IF(OR(B67="",C67=""),"",IF(EXACT(LOWER(TRIM(C67)),LOWER(TRIM('영어 단어장'!B67))),"⭕","❌"))</f>
        <v/>
      </c>
      <c r="F67" s="12"/>
    </row>
    <row r="68" spans="1:6" ht="21" x14ac:dyDescent="0.4">
      <c r="A68" s="10">
        <f t="shared" si="1"/>
        <v>67</v>
      </c>
      <c r="B68" s="10" t="str">
        <f>IF('영어 단어장'!C68="","",'영어 단어장'!C68)</f>
        <v>추구하다</v>
      </c>
      <c r="C68" s="11"/>
      <c r="D68" s="21" t="str">
        <f>IF(OR(C68="",'영어 단어장'!B68=""),"",IF(EXACT(LOWER(TRIM(C68)),LOWER(TRIM('영어 단어장'!B68))),"",'영어 단어장'!B68))</f>
        <v/>
      </c>
      <c r="E68" s="15" t="str">
        <f>IF(OR(B68="",C68=""),"",IF(EXACT(LOWER(TRIM(C68)),LOWER(TRIM('영어 단어장'!B68))),"⭕","❌"))</f>
        <v/>
      </c>
      <c r="F68" s="12"/>
    </row>
    <row r="69" spans="1:6" ht="21" x14ac:dyDescent="0.4">
      <c r="A69" s="10">
        <f t="shared" si="1"/>
        <v>68</v>
      </c>
      <c r="B69" s="10" t="str">
        <f>IF('영어 단어장'!C69="","",'영어 단어장'!C69)</f>
        <v>그것에 의해</v>
      </c>
      <c r="C69" s="11"/>
      <c r="D69" s="21" t="str">
        <f>IF(OR(C69="",'영어 단어장'!B69=""),"",IF(EXACT(LOWER(TRIM(C69)),LOWER(TRIM('영어 단어장'!B69))),"",'영어 단어장'!B69))</f>
        <v/>
      </c>
      <c r="E69" s="15" t="str">
        <f>IF(OR(B69="",C69=""),"",IF(EXACT(LOWER(TRIM(C69)),LOWER(TRIM('영어 단어장'!B69))),"⭕","❌"))</f>
        <v/>
      </c>
      <c r="F69" s="12"/>
    </row>
    <row r="70" spans="1:6" ht="21" x14ac:dyDescent="0.4">
      <c r="A70" s="10">
        <f t="shared" si="1"/>
        <v>69</v>
      </c>
      <c r="B70" s="10" t="str">
        <f>IF('영어 단어장'!C70="","",'영어 단어장'!C70)</f>
        <v>검증하다, 확인하다</v>
      </c>
      <c r="C70" s="11"/>
      <c r="D70" s="21" t="str">
        <f>IF(OR(C70="",'영어 단어장'!B70=""),"",IF(EXACT(LOWER(TRIM(C70)),LOWER(TRIM('영어 단어장'!B70))),"",'영어 단어장'!B70))</f>
        <v/>
      </c>
      <c r="E70" s="15" t="str">
        <f>IF(OR(B70="",C70=""),"",IF(EXACT(LOWER(TRIM(C70)),LOWER(TRIM('영어 단어장'!B70))),"⭕","❌"))</f>
        <v/>
      </c>
      <c r="F70" s="12"/>
    </row>
    <row r="71" spans="1:6" ht="21" x14ac:dyDescent="0.4">
      <c r="A71" s="10">
        <f t="shared" si="1"/>
        <v>70</v>
      </c>
      <c r="B71" s="10" t="str">
        <f>IF('영어 단어장'!C71="","",'영어 단어장'!C71)</f>
        <v>옹호하다, 주장하다</v>
      </c>
      <c r="C71" s="11"/>
      <c r="D71" s="21" t="str">
        <f>IF(OR(C71="",'영어 단어장'!B71=""),"",IF(EXACT(LOWER(TRIM(C71)),LOWER(TRIM('영어 단어장'!B71))),"",'영어 단어장'!B71))</f>
        <v/>
      </c>
      <c r="E71" s="15" t="str">
        <f>IF(OR(B71="",C71=""),"",IF(EXACT(LOWER(TRIM(C71)),LOWER(TRIM('영어 단어장'!B71))),"⭕","❌"))</f>
        <v/>
      </c>
      <c r="F71" s="12"/>
    </row>
    <row r="72" spans="1:6" ht="21" x14ac:dyDescent="0.4">
      <c r="A72" s="10">
        <f t="shared" si="1"/>
        <v>71</v>
      </c>
      <c r="B72" s="10" t="str">
        <f>IF('영어 단어장'!C72="","",'영어 단어장'!C72)</f>
        <v>포괄적인, 종합적인</v>
      </c>
      <c r="C72" s="11"/>
      <c r="D72" s="21" t="str">
        <f>IF(OR(C72="",'영어 단어장'!B72=""),"",IF(EXACT(LOWER(TRIM(C72)),LOWER(TRIM('영어 단어장'!B72))),"",'영어 단어장'!B72))</f>
        <v/>
      </c>
      <c r="E72" s="15" t="str">
        <f>IF(OR(B72="",C72=""),"",IF(EXACT(LOWER(TRIM(C72)),LOWER(TRIM('영어 단어장'!B72))),"⭕","❌"))</f>
        <v/>
      </c>
      <c r="F72" s="12"/>
    </row>
    <row r="73" spans="1:6" ht="21" x14ac:dyDescent="0.4">
      <c r="A73" s="10">
        <f t="shared" si="1"/>
        <v>72</v>
      </c>
      <c r="B73" s="10" t="str">
        <f>IF('영어 단어장'!C73="","",'영어 단어장'!C73)</f>
        <v>감소하다</v>
      </c>
      <c r="C73" s="11"/>
      <c r="D73" s="21" t="str">
        <f>IF(OR(C73="",'영어 단어장'!B73=""),"",IF(EXACT(LOWER(TRIM(C73)),LOWER(TRIM('영어 단어장'!B73))),"",'영어 단어장'!B73))</f>
        <v/>
      </c>
      <c r="E73" s="15" t="str">
        <f>IF(OR(B73="",C73=""),"",IF(EXACT(LOWER(TRIM(C73)),LOWER(TRIM('영어 단어장'!B73))),"⭕","❌"))</f>
        <v/>
      </c>
      <c r="F73" s="12"/>
    </row>
    <row r="74" spans="1:6" ht="21" x14ac:dyDescent="0.4">
      <c r="A74" s="10">
        <f t="shared" si="1"/>
        <v>73</v>
      </c>
      <c r="B74" s="10" t="str">
        <f>IF('영어 단어장'!C74="","",'영어 단어장'!C74)</f>
        <v>강조하다</v>
      </c>
      <c r="C74" s="11"/>
      <c r="D74" s="21" t="str">
        <f>IF(OR(C74="",'영어 단어장'!B74=""),"",IF(EXACT(LOWER(TRIM(C74)),LOWER(TRIM('영어 단어장'!B74))),"",'영어 단어장'!B74))</f>
        <v/>
      </c>
      <c r="E74" s="15" t="str">
        <f>IF(OR(B74="",C74=""),"",IF(EXACT(LOWER(TRIM(C74)),LOWER(TRIM('영어 단어장'!B74))),"⭕","❌"))</f>
        <v/>
      </c>
      <c r="F74" s="12"/>
    </row>
    <row r="75" spans="1:6" ht="21" x14ac:dyDescent="0.4">
      <c r="A75" s="10">
        <f t="shared" si="1"/>
        <v>74</v>
      </c>
      <c r="B75" s="10" t="str">
        <f>IF('영어 단어장'!C75="","",'영어 단어장'!C75)</f>
        <v>보증하다</v>
      </c>
      <c r="C75" s="11"/>
      <c r="D75" s="21" t="str">
        <f>IF(OR(C75="",'영어 단어장'!B75=""),"",IF(EXACT(LOWER(TRIM(C75)),LOWER(TRIM('영어 단어장'!B75))),"",'영어 단어장'!B75))</f>
        <v/>
      </c>
      <c r="E75" s="15" t="str">
        <f>IF(OR(B75="",C75=""),"",IF(EXACT(LOWER(TRIM(C75)),LOWER(TRIM('영어 단어장'!B75))),"⭕","❌"))</f>
        <v/>
      </c>
      <c r="F75" s="12"/>
    </row>
    <row r="76" spans="1:6" ht="21" x14ac:dyDescent="0.4">
      <c r="A76" s="10">
        <f t="shared" si="1"/>
        <v>75</v>
      </c>
      <c r="B76" s="10" t="str">
        <f>IF('영어 단어장'!C76="","",'영어 단어장'!C76)</f>
        <v>해석하다</v>
      </c>
      <c r="C76" s="11"/>
      <c r="D76" s="21" t="str">
        <f>IF(OR(C76="",'영어 단어장'!B76=""),"",IF(EXACT(LOWER(TRIM(C76)),LOWER(TRIM('영어 단어장'!B76))),"",'영어 단어장'!B76))</f>
        <v/>
      </c>
      <c r="E76" s="15" t="str">
        <f>IF(OR(B76="",C76=""),"",IF(EXACT(LOWER(TRIM(C76)),LOWER(TRIM('영어 단어장'!B76))),"⭕","❌"))</f>
        <v/>
      </c>
      <c r="F76" s="12"/>
    </row>
    <row r="77" spans="1:6" ht="21" x14ac:dyDescent="0.4">
      <c r="A77" s="10">
        <f t="shared" si="1"/>
        <v>76</v>
      </c>
      <c r="B77" s="10" t="str">
        <f>IF('영어 단어장'!C77="","",'영어 단어장'!C77)</f>
        <v>개념, 생각</v>
      </c>
      <c r="C77" s="11"/>
      <c r="D77" s="21" t="str">
        <f>IF(OR(C77="",'영어 단어장'!B77=""),"",IF(EXACT(LOWER(TRIM(C77)),LOWER(TRIM('영어 단어장'!B77))),"",'영어 단어장'!B77))</f>
        <v/>
      </c>
      <c r="E77" s="15" t="str">
        <f>IF(OR(B77="",C77=""),"",IF(EXACT(LOWER(TRIM(C77)),LOWER(TRIM('영어 단어장'!B77))),"⭕","❌"))</f>
        <v/>
      </c>
      <c r="F77" s="12"/>
    </row>
    <row r="78" spans="1:6" ht="21" x14ac:dyDescent="0.4">
      <c r="A78" s="10">
        <f t="shared" si="1"/>
        <v>77</v>
      </c>
      <c r="B78" s="10" t="str">
        <f>IF('영어 단어장'!C78="","",'영어 단어장'!C78)</f>
        <v>예비의, 초기의</v>
      </c>
      <c r="C78" s="11"/>
      <c r="D78" s="21" t="str">
        <f>IF(OR(C78="",'영어 단어장'!B78=""),"",IF(EXACT(LOWER(TRIM(C78)),LOWER(TRIM('영어 단어장'!B78))),"",'영어 단어장'!B78))</f>
        <v/>
      </c>
      <c r="E78" s="15" t="str">
        <f>IF(OR(B78="",C78=""),"",IF(EXACT(LOWER(TRIM(C78)),LOWER(TRIM('영어 단어장'!B78))),"⭕","❌"))</f>
        <v/>
      </c>
      <c r="F78" s="12"/>
    </row>
    <row r="79" spans="1:6" ht="21" x14ac:dyDescent="0.4">
      <c r="A79" s="10">
        <f t="shared" si="1"/>
        <v>78</v>
      </c>
      <c r="B79" s="10" t="str">
        <f>IF('영어 단어장'!C79="","",'영어 단어장'!C79)</f>
        <v>억압하다</v>
      </c>
      <c r="C79" s="11"/>
      <c r="D79" s="21" t="str">
        <f>IF(OR(C79="",'영어 단어장'!B79=""),"",IF(EXACT(LOWER(TRIM(C79)),LOWER(TRIM('영어 단어장'!B79))),"",'영어 단어장'!B79))</f>
        <v/>
      </c>
      <c r="E79" s="15" t="str">
        <f>IF(OR(B79="",C79=""),"",IF(EXACT(LOWER(TRIM(C79)),LOWER(TRIM('영어 단어장'!B79))),"⭕","❌"))</f>
        <v/>
      </c>
      <c r="F79" s="12"/>
    </row>
    <row r="80" spans="1:6" ht="21" x14ac:dyDescent="0.4">
      <c r="A80" s="10">
        <f t="shared" si="1"/>
        <v>79</v>
      </c>
      <c r="B80" s="10" t="str">
        <f>IF('영어 단어장'!C80="","",'영어 단어장'!C80)</f>
        <v>장점</v>
      </c>
      <c r="C80" s="11"/>
      <c r="D80" s="21" t="str">
        <f>IF(OR(C80="",'영어 단어장'!B80=""),"",IF(EXACT(LOWER(TRIM(C80)),LOWER(TRIM('영어 단어장'!B80))),"",'영어 단어장'!B80))</f>
        <v/>
      </c>
      <c r="E80" s="15" t="str">
        <f>IF(OR(B80="",C80=""),"",IF(EXACT(LOWER(TRIM(C80)),LOWER(TRIM('영어 단어장'!B80))),"⭕","❌"))</f>
        <v/>
      </c>
      <c r="F80" s="12"/>
    </row>
    <row r="81" spans="1:6" ht="21" x14ac:dyDescent="0.4">
      <c r="A81" s="10">
        <f t="shared" si="1"/>
        <v>80</v>
      </c>
      <c r="B81" s="10" t="str">
        <f>IF('영어 단어장'!C81="","",'영어 단어장'!C81)</f>
        <v>축적하다</v>
      </c>
      <c r="C81" s="11"/>
      <c r="D81" s="21" t="str">
        <f>IF(OR(C81="",'영어 단어장'!B81=""),"",IF(EXACT(LOWER(TRIM(C81)),LOWER(TRIM('영어 단어장'!B81))),"",'영어 단어장'!B81))</f>
        <v/>
      </c>
      <c r="E81" s="15" t="str">
        <f>IF(OR(B81="",C81=""),"",IF(EXACT(LOWER(TRIM(C81)),LOWER(TRIM('영어 단어장'!B81))),"⭕","❌"))</f>
        <v/>
      </c>
      <c r="F81" s="12"/>
    </row>
    <row r="82" spans="1:6" ht="21" x14ac:dyDescent="0.4">
      <c r="A82" s="10">
        <f t="shared" si="1"/>
        <v>81</v>
      </c>
      <c r="B82" s="10" t="str">
        <f>IF('영어 단어장'!C82="","",'영어 단어장'!C82)</f>
        <v>짐</v>
      </c>
      <c r="C82" s="11"/>
      <c r="D82" s="21" t="str">
        <f>IF(OR(C82="",'영어 단어장'!B82=""),"",IF(EXACT(LOWER(TRIM(C82)),LOWER(TRIM('영어 단어장'!B82))),"",'영어 단어장'!B82))</f>
        <v/>
      </c>
      <c r="E82" s="15" t="str">
        <f>IF(OR(B82="",C82=""),"",IF(EXACT(LOWER(TRIM(C82)),LOWER(TRIM('영어 단어장'!B82))),"⭕","❌"))</f>
        <v/>
      </c>
      <c r="F82" s="12"/>
    </row>
    <row r="83" spans="1:6" ht="21" x14ac:dyDescent="0.4">
      <c r="A83" s="10">
        <f t="shared" si="1"/>
        <v>82</v>
      </c>
      <c r="B83" s="10" t="str">
        <f>IF('영어 단어장'!C83="","",'영어 단어장'!C83)</f>
        <v>유래하다, 얻다</v>
      </c>
      <c r="C83" s="11"/>
      <c r="D83" s="21" t="str">
        <f>IF(OR(C83="",'영어 단어장'!B83=""),"",IF(EXACT(LOWER(TRIM(C83)),LOWER(TRIM('영어 단어장'!B83))),"",'영어 단어장'!B83))</f>
        <v/>
      </c>
      <c r="E83" s="15" t="str">
        <f>IF(OR(B83="",C83=""),"",IF(EXACT(LOWER(TRIM(C83)),LOWER(TRIM('영어 단어장'!B83))),"⭕","❌"))</f>
        <v/>
      </c>
      <c r="F83" s="12"/>
    </row>
    <row r="84" spans="1:6" ht="21" x14ac:dyDescent="0.4">
      <c r="A84" s="10">
        <f t="shared" si="1"/>
        <v>83</v>
      </c>
      <c r="B84" s="10" t="str">
        <f>IF('영어 단어장'!C84="","",'영어 단어장'!C84)</f>
        <v>정교한, 상세히 설명하다</v>
      </c>
      <c r="C84" s="11"/>
      <c r="D84" s="21" t="str">
        <f>IF(OR(C84="",'영어 단어장'!B84=""),"",IF(EXACT(LOWER(TRIM(C84)),LOWER(TRIM('영어 단어장'!B84))),"",'영어 단어장'!B84))</f>
        <v/>
      </c>
      <c r="E84" s="15" t="str">
        <f>IF(OR(B84="",C84=""),"",IF(EXACT(LOWER(TRIM(C84)),LOWER(TRIM('영어 단어장'!B84))),"⭕","❌"))</f>
        <v/>
      </c>
      <c r="F84" s="12"/>
    </row>
    <row r="85" spans="1:6" ht="21" x14ac:dyDescent="0.4">
      <c r="A85" s="10">
        <f t="shared" si="1"/>
        <v>84</v>
      </c>
      <c r="B85" s="10" t="str">
        <f>IF('영어 단어장'!C85="","",'영어 단어장'!C85)</f>
        <v>승인하다</v>
      </c>
      <c r="C85" s="11"/>
      <c r="D85" s="21" t="str">
        <f>IF(OR(C85="",'영어 단어장'!B85=""),"",IF(EXACT(LOWER(TRIM(C85)),LOWER(TRIM('영어 단어장'!B85))),"",'영어 단어장'!B85))</f>
        <v/>
      </c>
      <c r="E85" s="15" t="str">
        <f>IF(OR(B85="",C85=""),"",IF(EXACT(LOWER(TRIM(C85)),LOWER(TRIM('영어 단어장'!B85))),"⭕","❌"))</f>
        <v/>
      </c>
      <c r="F85" s="12"/>
    </row>
    <row r="86" spans="1:6" ht="21" x14ac:dyDescent="0.4">
      <c r="A86" s="10">
        <f t="shared" si="1"/>
        <v>85</v>
      </c>
      <c r="B86" s="10" t="str">
        <f>IF('영어 단어장'!C86="","",'영어 단어장'!C86)</f>
        <v>결과</v>
      </c>
      <c r="C86" s="11"/>
      <c r="D86" s="21" t="str">
        <f>IF(OR(C86="",'영어 단어장'!B86=""),"",IF(EXACT(LOWER(TRIM(C86)),LOWER(TRIM('영어 단어장'!B86))),"",'영어 단어장'!B86))</f>
        <v/>
      </c>
      <c r="E86" s="15" t="str">
        <f>IF(OR(B86="",C86=""),"",IF(EXACT(LOWER(TRIM(C86)),LOWER(TRIM('영어 단어장'!B86))),"⭕","❌"))</f>
        <v/>
      </c>
      <c r="F86" s="12"/>
    </row>
    <row r="87" spans="1:6" ht="21" x14ac:dyDescent="0.4">
      <c r="A87" s="10">
        <f t="shared" si="1"/>
        <v>86</v>
      </c>
      <c r="B87" s="10" t="str">
        <f>IF('영어 단어장'!C87="","",'영어 단어장'!C87)</f>
        <v>주요한, 교장</v>
      </c>
      <c r="C87" s="11"/>
      <c r="D87" s="21" t="str">
        <f>IF(OR(C87="",'영어 단어장'!B87=""),"",IF(EXACT(LOWER(TRIM(C87)),LOWER(TRIM('영어 단어장'!B87))),"",'영어 단어장'!B87))</f>
        <v/>
      </c>
      <c r="E87" s="15" t="str">
        <f>IF(OR(B87="",C87=""),"",IF(EXACT(LOWER(TRIM(C87)),LOWER(TRIM('영어 단어장'!B87))),"⭕","❌"))</f>
        <v/>
      </c>
      <c r="F87" s="12"/>
    </row>
    <row r="88" spans="1:6" ht="21" x14ac:dyDescent="0.4">
      <c r="A88" s="10">
        <f t="shared" si="1"/>
        <v>87</v>
      </c>
      <c r="B88" s="10" t="str">
        <f>IF('영어 단어장'!C88="","",'영어 단어장'!C88)</f>
        <v>철회하다</v>
      </c>
      <c r="C88" s="11"/>
      <c r="D88" s="21" t="str">
        <f>IF(OR(C88="",'영어 단어장'!B88=""),"",IF(EXACT(LOWER(TRIM(C88)),LOWER(TRIM('영어 단어장'!B88))),"",'영어 단어장'!B88))</f>
        <v/>
      </c>
      <c r="E88" s="15" t="str">
        <f>IF(OR(B88="",C88=""),"",IF(EXACT(LOWER(TRIM(C88)),LOWER(TRIM('영어 단어장'!B88))),"⭕","❌"))</f>
        <v/>
      </c>
      <c r="F88" s="12"/>
    </row>
    <row r="89" spans="1:6" ht="21" x14ac:dyDescent="0.4">
      <c r="A89" s="10">
        <f t="shared" si="1"/>
        <v>88</v>
      </c>
      <c r="B89" s="10" t="str">
        <f>IF('영어 단어장'!C89="","",'영어 단어장'!C89)</f>
        <v>폐지하다</v>
      </c>
      <c r="C89" s="11"/>
      <c r="D89" s="21" t="str">
        <f>IF(OR(C89="",'영어 단어장'!B89=""),"",IF(EXACT(LOWER(TRIM(C89)),LOWER(TRIM('영어 단어장'!B89))),"",'영어 단어장'!B89))</f>
        <v/>
      </c>
      <c r="E89" s="15" t="str">
        <f>IF(OR(B89="",C89=""),"",IF(EXACT(LOWER(TRIM(C89)),LOWER(TRIM('영어 단어장'!B89))),"⭕","❌"))</f>
        <v/>
      </c>
      <c r="F89" s="12"/>
    </row>
    <row r="90" spans="1:6" ht="21" x14ac:dyDescent="0.4">
      <c r="A90" s="10">
        <f t="shared" si="1"/>
        <v>89</v>
      </c>
      <c r="B90" s="10" t="str">
        <f>IF('영어 단어장'!C90="","",'영어 단어장'!C90)</f>
        <v>결론짓다, 끝내다</v>
      </c>
      <c r="C90" s="11"/>
      <c r="D90" s="21" t="str">
        <f>IF(OR(C90="",'영어 단어장'!B90=""),"",IF(EXACT(LOWER(TRIM(C90)),LOWER(TRIM('영어 단어장'!B90))),"",'영어 단어장'!B90))</f>
        <v/>
      </c>
      <c r="E90" s="15" t="str">
        <f>IF(OR(B90="",C90=""),"",IF(EXACT(LOWER(TRIM(C90)),LOWER(TRIM('영어 단어장'!B90))),"⭕","❌"))</f>
        <v/>
      </c>
      <c r="F90" s="12"/>
    </row>
    <row r="91" spans="1:6" ht="21" x14ac:dyDescent="0.4">
      <c r="A91" s="10">
        <f t="shared" si="1"/>
        <v>90</v>
      </c>
      <c r="B91" s="10" t="str">
        <f>IF('영어 단어장'!C91="","",'영어 단어장'!C91)</f>
        <v>감소하다</v>
      </c>
      <c r="C91" s="11"/>
      <c r="D91" s="21" t="str">
        <f>IF(OR(C91="",'영어 단어장'!B91=""),"",IF(EXACT(LOWER(TRIM(C91)),LOWER(TRIM('영어 단어장'!B91))),"",'영어 단어장'!B91))</f>
        <v/>
      </c>
      <c r="E91" s="15" t="str">
        <f>IF(OR(B91="",C91=""),"",IF(EXACT(LOWER(TRIM(C91)),LOWER(TRIM('영어 단어장'!B91))),"⭕","❌"))</f>
        <v/>
      </c>
      <c r="F91" s="12"/>
    </row>
    <row r="92" spans="1:6" ht="21" x14ac:dyDescent="0.4">
      <c r="A92" s="10">
        <f t="shared" si="1"/>
        <v>91</v>
      </c>
      <c r="B92" s="10" t="str">
        <f>IF('영어 단어장'!C92="","",'영어 단어장'!C92)</f>
        <v>영구적인</v>
      </c>
      <c r="C92" s="11"/>
      <c r="D92" s="21" t="str">
        <f>IF(OR(C92="",'영어 단어장'!B92=""),"",IF(EXACT(LOWER(TRIM(C92)),LOWER(TRIM('영어 단어장'!B92))),"",'영어 단어장'!B92))</f>
        <v/>
      </c>
      <c r="E92" s="15" t="str">
        <f>IF(OR(B92="",C92=""),"",IF(EXACT(LOWER(TRIM(C92)),LOWER(TRIM('영어 단어장'!B92))),"⭕","❌"))</f>
        <v/>
      </c>
      <c r="F92" s="12"/>
    </row>
    <row r="93" spans="1:6" ht="21" x14ac:dyDescent="0.4">
      <c r="A93" s="10">
        <f t="shared" si="1"/>
        <v>92</v>
      </c>
      <c r="B93" s="10" t="str">
        <f>IF('영어 단어장'!C93="","",'영어 단어장'!C93)</f>
        <v>전환, 과도기</v>
      </c>
      <c r="C93" s="11"/>
      <c r="D93" s="21" t="str">
        <f>IF(OR(C93="",'영어 단어장'!B93=""),"",IF(EXACT(LOWER(TRIM(C93)),LOWER(TRIM('영어 단어장'!B93))),"",'영어 단어장'!B93))</f>
        <v/>
      </c>
      <c r="E93" s="15" t="str">
        <f>IF(OR(B93="",C93=""),"",IF(EXACT(LOWER(TRIM(C93)),LOWER(TRIM('영어 단어장'!B93))),"⭕","❌"))</f>
        <v/>
      </c>
      <c r="F93" s="12"/>
    </row>
    <row r="94" spans="1:6" ht="21" x14ac:dyDescent="0.4">
      <c r="A94" s="10">
        <f t="shared" si="1"/>
        <v>93</v>
      </c>
      <c r="B94" s="10" t="str">
        <f>IF('영어 단어장'!C94="","",'영어 단어장'!C94)</f>
        <v>일관성있는</v>
      </c>
      <c r="C94" s="11"/>
      <c r="D94" s="21" t="str">
        <f>IF(OR(C94="",'영어 단어장'!B94=""),"",IF(EXACT(LOWER(TRIM(C94)),LOWER(TRIM('영어 단어장'!B94))),"",'영어 단어장'!B94))</f>
        <v/>
      </c>
      <c r="E94" s="15" t="str">
        <f>IF(OR(B94="",C94=""),"",IF(EXACT(LOWER(TRIM(C94)),LOWER(TRIM('영어 단어장'!B94))),"⭕","❌"))</f>
        <v/>
      </c>
      <c r="F94" s="12"/>
    </row>
    <row r="95" spans="1:6" ht="21" x14ac:dyDescent="0.4">
      <c r="A95" s="10">
        <f t="shared" si="1"/>
        <v>94</v>
      </c>
      <c r="B95" s="10" t="str">
        <f>IF('영어 단어장'!C95="","",'영어 단어장'!C95)</f>
        <v>공평한</v>
      </c>
      <c r="C95" s="11"/>
      <c r="D95" s="21" t="str">
        <f>IF(OR(C95="",'영어 단어장'!B95=""),"",IF(EXACT(LOWER(TRIM(C95)),LOWER(TRIM('영어 단어장'!B95))),"",'영어 단어장'!B95))</f>
        <v/>
      </c>
      <c r="E95" s="15" t="str">
        <f>IF(OR(B95="",C95=""),"",IF(EXACT(LOWER(TRIM(C95)),LOWER(TRIM('영어 단어장'!B95))),"⭕","❌"))</f>
        <v/>
      </c>
      <c r="F95" s="12"/>
    </row>
    <row r="96" spans="1:6" ht="21" x14ac:dyDescent="0.4">
      <c r="A96" s="10">
        <f t="shared" si="1"/>
        <v>95</v>
      </c>
      <c r="B96" s="10" t="str">
        <f>IF('영어 단어장'!C96="","",'영어 단어장'!C96)</f>
        <v>저명한</v>
      </c>
      <c r="C96" s="11"/>
      <c r="D96" s="21" t="str">
        <f>IF(OR(C96="",'영어 단어장'!B96=""),"",IF(EXACT(LOWER(TRIM(C96)),LOWER(TRIM('영어 단어장'!B96))),"",'영어 단어장'!B96))</f>
        <v/>
      </c>
      <c r="E96" s="15" t="str">
        <f>IF(OR(B96="",C96=""),"",IF(EXACT(LOWER(TRIM(C96)),LOWER(TRIM('영어 단어장'!B96))),"⭕","❌"))</f>
        <v/>
      </c>
      <c r="F96" s="12"/>
    </row>
    <row r="97" spans="1:6" ht="21" x14ac:dyDescent="0.4">
      <c r="A97" s="10">
        <f t="shared" si="1"/>
        <v>96</v>
      </c>
      <c r="B97" s="10" t="str">
        <f>IF('영어 단어장'!C97="","",'영어 단어장'!C97)</f>
        <v>엄격한</v>
      </c>
      <c r="C97" s="11"/>
      <c r="D97" s="21" t="str">
        <f>IF(OR(C97="",'영어 단어장'!B97=""),"",IF(EXACT(LOWER(TRIM(C97)),LOWER(TRIM('영어 단어장'!B97))),"",'영어 단어장'!B97))</f>
        <v/>
      </c>
      <c r="E97" s="15" t="str">
        <f>IF(OR(B97="",C97=""),"",IF(EXACT(LOWER(TRIM(C97)),LOWER(TRIM('영어 단어장'!B97))),"⭕","❌"))</f>
        <v/>
      </c>
      <c r="F97" s="12"/>
    </row>
    <row r="98" spans="1:6" ht="21" x14ac:dyDescent="0.4">
      <c r="A98" s="10">
        <f t="shared" si="1"/>
        <v>97</v>
      </c>
      <c r="B98" s="10" t="str">
        <f>IF('영어 단어장'!C98="","",'영어 단어장'!C98)</f>
        <v>근면한</v>
      </c>
      <c r="C98" s="11"/>
      <c r="D98" s="21" t="str">
        <f>IF(OR(C98="",'영어 단어장'!B98=""),"",IF(EXACT(LOWER(TRIM(C98)),LOWER(TRIM('영어 단어장'!B98))),"",'영어 단어장'!B98))</f>
        <v/>
      </c>
      <c r="E98" s="15" t="str">
        <f>IF(OR(B98="",C98=""),"",IF(EXACT(LOWER(TRIM(C98)),LOWER(TRIM('영어 단어장'!B98))),"⭕","❌"))</f>
        <v/>
      </c>
      <c r="F98" s="12"/>
    </row>
    <row r="99" spans="1:6" ht="21" x14ac:dyDescent="0.4">
      <c r="A99" s="10">
        <f t="shared" si="1"/>
        <v>98</v>
      </c>
      <c r="B99" s="10" t="str">
        <f>IF('영어 단어장'!C99="","",'영어 단어장'!C99)</f>
        <v>다재다능한</v>
      </c>
      <c r="C99" s="11"/>
      <c r="D99" s="21" t="str">
        <f>IF(OR(C99="",'영어 단어장'!B99=""),"",IF(EXACT(LOWER(TRIM(C99)),LOWER(TRIM('영어 단어장'!B99))),"",'영어 단어장'!B99))</f>
        <v/>
      </c>
      <c r="E99" s="15" t="str">
        <f>IF(OR(B99="",C99=""),"",IF(EXACT(LOWER(TRIM(C99)),LOWER(TRIM('영어 단어장'!B99))),"⭕","❌"))</f>
        <v/>
      </c>
      <c r="F99" s="12"/>
    </row>
    <row r="100" spans="1:6" ht="21" x14ac:dyDescent="0.4">
      <c r="A100" s="10">
        <f t="shared" si="1"/>
        <v>99</v>
      </c>
      <c r="B100" s="10" t="str">
        <f>IF('영어 단어장'!C100="","",'영어 단어장'!C100)</f>
        <v>간결한</v>
      </c>
      <c r="C100" s="11"/>
      <c r="D100" s="21" t="str">
        <f>IF(OR(C100="",'영어 단어장'!B100=""),"",IF(EXACT(LOWER(TRIM(C100)),LOWER(TRIM('영어 단어장'!B100))),"",'영어 단어장'!B100))</f>
        <v/>
      </c>
      <c r="E100" s="15" t="str">
        <f>IF(OR(B100="",C100=""),"",IF(EXACT(LOWER(TRIM(C100)),LOWER(TRIM('영어 단어장'!B100))),"⭕","❌"))</f>
        <v/>
      </c>
      <c r="F100" s="12"/>
    </row>
    <row r="101" spans="1:6" ht="21" x14ac:dyDescent="0.4">
      <c r="A101" s="10">
        <f t="shared" si="1"/>
        <v>100</v>
      </c>
      <c r="B101" s="10" t="str">
        <f>IF('영어 단어장'!C101="","",'영어 단어장'!C101)</f>
        <v>구식의</v>
      </c>
      <c r="C101" s="11"/>
      <c r="D101" s="21" t="str">
        <f>IF(OR(C101="",'영어 단어장'!B101=""),"",IF(EXACT(LOWER(TRIM(C101)),LOWER(TRIM('영어 단어장'!B101))),"",'영어 단어장'!B101))</f>
        <v/>
      </c>
      <c r="E101" s="15" t="str">
        <f>IF(OR(B101="",C101=""),"",IF(EXACT(LOWER(TRIM(C101)),LOWER(TRIM('영어 단어장'!B101))),"⭕","❌"))</f>
        <v/>
      </c>
      <c r="F101" s="12"/>
    </row>
    <row r="102" spans="1:6" ht="21" x14ac:dyDescent="0.4">
      <c r="A102" s="10">
        <f t="shared" si="1"/>
        <v>101</v>
      </c>
      <c r="B102" s="10" t="str">
        <f>IF('영어 단어장'!C102="","",'영어 단어장'!C102)</f>
        <v>그럴듯한</v>
      </c>
      <c r="C102" s="11"/>
      <c r="D102" s="21" t="str">
        <f>IF(OR(C102="",'영어 단어장'!B102=""),"",IF(EXACT(LOWER(TRIM(C102)),LOWER(TRIM('영어 단어장'!B102))),"",'영어 단어장'!B102))</f>
        <v/>
      </c>
      <c r="E102" s="15" t="str">
        <f>IF(OR(B102="",C102=""),"",IF(EXACT(LOWER(TRIM(C102)),LOWER(TRIM('영어 단어장'!B102))),"⭕","❌"))</f>
        <v/>
      </c>
      <c r="F102" s="12"/>
    </row>
    <row r="103" spans="1:6" ht="21" x14ac:dyDescent="0.4">
      <c r="A103" s="10">
        <f t="shared" si="1"/>
        <v>102</v>
      </c>
      <c r="B103" s="10" t="str">
        <f>IF('영어 단어장'!C103="","",'영어 단어장'!C103)</f>
        <v>하찮은</v>
      </c>
      <c r="C103" s="11"/>
      <c r="D103" s="21" t="str">
        <f>IF(OR(C103="",'영어 단어장'!B103=""),"",IF(EXACT(LOWER(TRIM(C103)),LOWER(TRIM('영어 단어장'!B103))),"",'영어 단어장'!B103))</f>
        <v/>
      </c>
      <c r="E103" s="15" t="str">
        <f>IF(OR(B103="",C103=""),"",IF(EXACT(LOWER(TRIM(C103)),LOWER(TRIM('영어 단어장'!B103))),"⭕","❌"))</f>
        <v/>
      </c>
      <c r="F103" s="12"/>
    </row>
    <row r="104" spans="1:6" ht="21" x14ac:dyDescent="0.4">
      <c r="A104" s="10">
        <f t="shared" si="1"/>
        <v>103</v>
      </c>
      <c r="B104" s="10" t="str">
        <f>IF('영어 단어장'!C104="","",'영어 단어장'!C104)</f>
        <v>통지하다</v>
      </c>
      <c r="C104" s="11"/>
      <c r="D104" s="21" t="str">
        <f>IF(OR(C104="",'영어 단어장'!B104=""),"",IF(EXACT(LOWER(TRIM(C104)),LOWER(TRIM('영어 단어장'!B104))),"",'영어 단어장'!B104))</f>
        <v/>
      </c>
      <c r="E104" s="15" t="str">
        <f>IF(OR(B104="",C104=""),"",IF(EXACT(LOWER(TRIM(C104)),LOWER(TRIM('영어 단어장'!B104))),"⭕","❌"))</f>
        <v/>
      </c>
      <c r="F104" s="12"/>
    </row>
    <row r="105" spans="1:6" ht="21" x14ac:dyDescent="0.4">
      <c r="A105" s="10">
        <f t="shared" si="1"/>
        <v>104</v>
      </c>
      <c r="B105" s="10" t="str">
        <f>IF('영어 단어장'!C105="","",'영어 단어장'!C105)</f>
        <v>보유하다</v>
      </c>
      <c r="C105" s="11"/>
      <c r="D105" s="21" t="str">
        <f>IF(OR(C105="",'영어 단어장'!B105=""),"",IF(EXACT(LOWER(TRIM(C105)),LOWER(TRIM('영어 단어장'!B105))),"",'영어 단어장'!B105))</f>
        <v/>
      </c>
      <c r="E105" s="15" t="str">
        <f>IF(OR(B105="",C105=""),"",IF(EXACT(LOWER(TRIM(C105)),LOWER(TRIM('영어 단어장'!B105))),"⭕","❌"))</f>
        <v/>
      </c>
      <c r="F105" s="12"/>
    </row>
    <row r="106" spans="1:6" ht="21" x14ac:dyDescent="0.4">
      <c r="A106" s="10">
        <f t="shared" si="1"/>
        <v>105</v>
      </c>
      <c r="B106" s="10" t="str">
        <f>IF('영어 단어장'!C106="","",'영어 단어장'!C106)</f>
        <v>실행가능한</v>
      </c>
      <c r="C106" s="11"/>
      <c r="D106" s="21" t="str">
        <f>IF(OR(C106="",'영어 단어장'!B106=""),"",IF(EXACT(LOWER(TRIM(C106)),LOWER(TRIM('영어 단어장'!B106))),"",'영어 단어장'!B106))</f>
        <v/>
      </c>
      <c r="E106" s="15" t="str">
        <f>IF(OR(B106="",C106=""),"",IF(EXACT(LOWER(TRIM(C106)),LOWER(TRIM('영어 단어장'!B106))),"⭕","❌"))</f>
        <v/>
      </c>
      <c r="F106" s="12"/>
    </row>
    <row r="107" spans="1:6" ht="21" x14ac:dyDescent="0.4">
      <c r="A107" s="10">
        <f t="shared" si="1"/>
        <v>106</v>
      </c>
      <c r="B107" s="10" t="str">
        <f>IF('영어 단어장'!C107="","",'영어 단어장'!C107)</f>
        <v>악화시키다</v>
      </c>
      <c r="C107" s="11"/>
      <c r="D107" s="21" t="str">
        <f>IF(OR(C107="",'영어 단어장'!B107=""),"",IF(EXACT(LOWER(TRIM(C107)),LOWER(TRIM('영어 단어장'!B107))),"",'영어 단어장'!B107))</f>
        <v/>
      </c>
      <c r="E107" s="15" t="str">
        <f>IF(OR(B107="",C107=""),"",IF(EXACT(LOWER(TRIM(C107)),LOWER(TRIM('영어 단어장'!B107))),"⭕","❌"))</f>
        <v/>
      </c>
      <c r="F107" s="12"/>
    </row>
    <row r="108" spans="1:6" ht="21" x14ac:dyDescent="0.4">
      <c r="A108" s="10">
        <f t="shared" si="1"/>
        <v>107</v>
      </c>
      <c r="B108" s="10" t="str">
        <f>IF('영어 단어장'!C108="","",'영어 단어장'!C108)</f>
        <v>신중한</v>
      </c>
      <c r="C108" s="11"/>
      <c r="D108" s="21" t="str">
        <f>IF(OR(C108="",'영어 단어장'!B108=""),"",IF(EXACT(LOWER(TRIM(C108)),LOWER(TRIM('영어 단어장'!B108))),"",'영어 단어장'!B108))</f>
        <v/>
      </c>
      <c r="E108" s="15" t="str">
        <f>IF(OR(B108="",C108=""),"",IF(EXACT(LOWER(TRIM(C108)),LOWER(TRIM('영어 단어장'!B108))),"⭕","❌"))</f>
        <v/>
      </c>
      <c r="F108" s="12"/>
    </row>
    <row r="109" spans="1:6" ht="21" x14ac:dyDescent="0.4">
      <c r="A109" s="10">
        <f t="shared" si="1"/>
        <v>108</v>
      </c>
      <c r="B109" s="10" t="str">
        <f>IF('영어 단어장'!C109="","",'영어 단어장'!C109)</f>
        <v>만질 수 있는</v>
      </c>
      <c r="C109" s="11"/>
      <c r="D109" s="21" t="str">
        <f>IF(OR(C109="",'영어 단어장'!B109=""),"",IF(EXACT(LOWER(TRIM(C109)),LOWER(TRIM('영어 단어장'!B109))),"",'영어 단어장'!B109))</f>
        <v/>
      </c>
      <c r="E109" s="15" t="str">
        <f>IF(OR(B109="",C109=""),"",IF(EXACT(LOWER(TRIM(C109)),LOWER(TRIM('영어 단어장'!B109))),"⭕","❌"))</f>
        <v/>
      </c>
      <c r="F109" s="12"/>
    </row>
    <row r="110" spans="1:6" ht="21" x14ac:dyDescent="0.4">
      <c r="A110" s="10">
        <f t="shared" si="1"/>
        <v>109</v>
      </c>
      <c r="B110" s="10" t="str">
        <f>IF('영어 단어장'!C110="","",'영어 단어장'!C110)</f>
        <v>임의적인, 독단적인</v>
      </c>
      <c r="C110" s="11"/>
      <c r="D110" s="21" t="str">
        <f>IF(OR(C110="",'영어 단어장'!B110=""),"",IF(EXACT(LOWER(TRIM(C110)),LOWER(TRIM('영어 단어장'!B110))),"",'영어 단어장'!B110))</f>
        <v/>
      </c>
      <c r="E110" s="15" t="str">
        <f>IF(OR(B110="",C110=""),"",IF(EXACT(LOWER(TRIM(C110)),LOWER(TRIM('영어 단어장'!B110))),"⭕","❌"))</f>
        <v/>
      </c>
      <c r="F110" s="12"/>
    </row>
    <row r="111" spans="1:6" ht="21" x14ac:dyDescent="0.4">
      <c r="A111" s="10">
        <f t="shared" si="1"/>
        <v>110</v>
      </c>
      <c r="B111" s="10" t="str">
        <f>IF('영어 단어장'!C111="","",'영어 단어장'!C111)</f>
        <v>심오한</v>
      </c>
      <c r="C111" s="11"/>
      <c r="D111" s="21" t="str">
        <f>IF(OR(C111="",'영어 단어장'!B111=""),"",IF(EXACT(LOWER(TRIM(C111)),LOWER(TRIM('영어 단어장'!B111))),"",'영어 단어장'!B111))</f>
        <v/>
      </c>
      <c r="E111" s="15" t="str">
        <f>IF(OR(B111="",C111=""),"",IF(EXACT(LOWER(TRIM(C111)),LOWER(TRIM('영어 단어장'!B111))),"⭕","❌"))</f>
        <v/>
      </c>
      <c r="F111" s="12"/>
    </row>
    <row r="112" spans="1:6" ht="21" x14ac:dyDescent="0.4">
      <c r="A112" s="10">
        <f t="shared" si="1"/>
        <v>111</v>
      </c>
      <c r="B112" s="10" t="str">
        <f>IF('영어 단어장'!C112="","",'영어 단어장'!C112)</f>
        <v>고유한</v>
      </c>
      <c r="C112" s="11"/>
      <c r="D112" s="21" t="str">
        <f>IF(OR(C112="",'영어 단어장'!B112=""),"",IF(EXACT(LOWER(TRIM(C112)),LOWER(TRIM('영어 단어장'!B112))),"",'영어 단어장'!B112))</f>
        <v/>
      </c>
      <c r="E112" s="15" t="str">
        <f>IF(OR(B112="",C112=""),"",IF(EXACT(LOWER(TRIM(C112)),LOWER(TRIM('영어 단어장'!B112))),"⭕","❌"))</f>
        <v/>
      </c>
      <c r="F112" s="12"/>
    </row>
    <row r="113" spans="1:6" ht="21" x14ac:dyDescent="0.4">
      <c r="A113" s="10">
        <f t="shared" si="1"/>
        <v>112</v>
      </c>
      <c r="B113" s="10" t="str">
        <f>IF('영어 단어장'!C113="","",'영어 단어장'!C113)</f>
        <v>지루한</v>
      </c>
      <c r="C113" s="11"/>
      <c r="D113" s="21" t="str">
        <f>IF(OR(C113="",'영어 단어장'!B113=""),"",IF(EXACT(LOWER(TRIM(C113)),LOWER(TRIM('영어 단어장'!B113))),"",'영어 단어장'!B113))</f>
        <v/>
      </c>
      <c r="E113" s="15" t="str">
        <f>IF(OR(B113="",C113=""),"",IF(EXACT(LOWER(TRIM(C113)),LOWER(TRIM('영어 단어장'!B113))),"⭕","❌"))</f>
        <v/>
      </c>
      <c r="F113" s="12"/>
    </row>
    <row r="114" spans="1:6" ht="21" x14ac:dyDescent="0.4">
      <c r="A114" s="10">
        <f t="shared" si="1"/>
        <v>113</v>
      </c>
      <c r="B114" s="10" t="str">
        <f>IF('영어 단어장'!C114="","",'영어 단어장'!C114)</f>
        <v>육성하다</v>
      </c>
      <c r="C114" s="11"/>
      <c r="D114" s="21" t="str">
        <f>IF(OR(C114="",'영어 단어장'!B114=""),"",IF(EXACT(LOWER(TRIM(C114)),LOWER(TRIM('영어 단어장'!B114))),"",'영어 단어장'!B114))</f>
        <v/>
      </c>
      <c r="E114" s="15" t="str">
        <f>IF(OR(B114="",C114=""),"",IF(EXACT(LOWER(TRIM(C114)),LOWER(TRIM('영어 단어장'!B114))),"⭕","❌"))</f>
        <v/>
      </c>
      <c r="F114" s="12"/>
    </row>
    <row r="115" spans="1:6" ht="21" x14ac:dyDescent="0.4">
      <c r="A115" s="10">
        <f t="shared" si="1"/>
        <v>114</v>
      </c>
      <c r="B115" s="10" t="str">
        <f>IF('영어 단어장'!C115="","",'영어 단어장'!C115)</f>
        <v>숙고하다</v>
      </c>
      <c r="C115" s="11"/>
      <c r="D115" s="21" t="str">
        <f>IF(OR(C115="",'영어 단어장'!B115=""),"",IF(EXACT(LOWER(TRIM(C115)),LOWER(TRIM('영어 단어장'!B115))),"",'영어 단어장'!B115))</f>
        <v/>
      </c>
      <c r="E115" s="15" t="str">
        <f>IF(OR(B115="",C115=""),"",IF(EXACT(LOWER(TRIM(C115)),LOWER(TRIM('영어 단어장'!B115))),"⭕","❌"))</f>
        <v/>
      </c>
      <c r="F115" s="12"/>
    </row>
    <row r="116" spans="1:6" ht="21" x14ac:dyDescent="0.4">
      <c r="A116" s="10">
        <f t="shared" si="1"/>
        <v>115</v>
      </c>
      <c r="B116" s="10" t="str">
        <f>IF('영어 단어장'!C116="","",'영어 단어장'!C116)</f>
        <v>회의적인, 의심하는</v>
      </c>
      <c r="C116" s="11"/>
      <c r="D116" s="21" t="str">
        <f>IF(OR(C116="",'영어 단어장'!B116=""),"",IF(EXACT(LOWER(TRIM(C116)),LOWER(TRIM('영어 단어장'!B116))),"",'영어 단어장'!B116))</f>
        <v/>
      </c>
      <c r="E116" s="15" t="str">
        <f>IF(OR(B116="",C116=""),"",IF(EXACT(LOWER(TRIM(C116)),LOWER(TRIM('영어 단어장'!B116))),"⭕","❌"))</f>
        <v/>
      </c>
      <c r="F116" s="12"/>
    </row>
    <row r="117" spans="1:6" ht="21" x14ac:dyDescent="0.4">
      <c r="A117" s="10">
        <f t="shared" si="1"/>
        <v>116</v>
      </c>
      <c r="B117" s="10" t="str">
        <f>IF('영어 단어장'!C117="","",'영어 단어장'!C117)</f>
        <v>악화되다</v>
      </c>
      <c r="C117" s="11"/>
      <c r="D117" s="21" t="str">
        <f>IF(OR(C117="",'영어 단어장'!B117=""),"",IF(EXACT(LOWER(TRIM(C117)),LOWER(TRIM('영어 단어장'!B117))),"",'영어 단어장'!B117))</f>
        <v/>
      </c>
      <c r="E117" s="15" t="str">
        <f>IF(OR(B117="",C117=""),"",IF(EXACT(LOWER(TRIM(C117)),LOWER(TRIM('영어 단어장'!B117))),"⭕","❌"))</f>
        <v/>
      </c>
      <c r="F117" s="12"/>
    </row>
    <row r="118" spans="1:6" ht="21" x14ac:dyDescent="0.4">
      <c r="A118" s="10">
        <f t="shared" si="1"/>
        <v>117</v>
      </c>
      <c r="B118" s="10" t="str">
        <f>IF('영어 단어장'!C118="","",'영어 단어장'!C118)</f>
        <v>필수불가결한</v>
      </c>
      <c r="C118" s="11"/>
      <c r="D118" s="21" t="str">
        <f>IF(OR(C118="",'영어 단어장'!B118=""),"",IF(EXACT(LOWER(TRIM(C118)),LOWER(TRIM('영어 단어장'!B118))),"",'영어 단어장'!B118))</f>
        <v/>
      </c>
      <c r="E118" s="15" t="str">
        <f>IF(OR(B118="",C118=""),"",IF(EXACT(LOWER(TRIM(C118)),LOWER(TRIM('영어 단어장'!B118))),"⭕","❌"))</f>
        <v/>
      </c>
      <c r="F118" s="12"/>
    </row>
    <row r="119" spans="1:6" ht="21" x14ac:dyDescent="0.4">
      <c r="A119" s="10">
        <f t="shared" si="1"/>
        <v>118</v>
      </c>
      <c r="B119" s="10" t="str">
        <f>IF('영어 단어장'!C119="","",'영어 단어장'!C119)</f>
        <v>지속적인, 끈질긴</v>
      </c>
      <c r="C119" s="11"/>
      <c r="D119" s="21" t="str">
        <f>IF(OR(C119="",'영어 단어장'!B119=""),"",IF(EXACT(LOWER(TRIM(C119)),LOWER(TRIM('영어 단어장'!B119))),"",'영어 단어장'!B119))</f>
        <v/>
      </c>
      <c r="E119" s="15" t="str">
        <f>IF(OR(B119="",C119=""),"",IF(EXACT(LOWER(TRIM(C119)),LOWER(TRIM('영어 단어장'!B119))),"⭕","❌"))</f>
        <v/>
      </c>
      <c r="F119" s="12"/>
    </row>
    <row r="120" spans="1:6" ht="21" x14ac:dyDescent="0.4">
      <c r="A120" s="10">
        <f t="shared" si="1"/>
        <v>119</v>
      </c>
      <c r="B120" s="10" t="str">
        <f>IF('영어 단어장'!C120="","",'영어 단어장'!C120)</f>
        <v>완화하다</v>
      </c>
      <c r="C120" s="11"/>
      <c r="D120" s="21" t="str">
        <f>IF(OR(C120="",'영어 단어장'!B120=""),"",IF(EXACT(LOWER(TRIM(C120)),LOWER(TRIM('영어 단어장'!B120))),"",'영어 단어장'!B120))</f>
        <v/>
      </c>
      <c r="E120" s="15" t="str">
        <f>IF(OR(B120="",C120=""),"",IF(EXACT(LOWER(TRIM(C120)),LOWER(TRIM('영어 단어장'!B120))),"⭕","❌"))</f>
        <v/>
      </c>
      <c r="F120" s="12"/>
    </row>
    <row r="121" spans="1:6" ht="21" x14ac:dyDescent="0.4">
      <c r="A121" s="10">
        <f t="shared" si="1"/>
        <v>120</v>
      </c>
      <c r="B121" s="10" t="str">
        <f>IF('영어 단어장'!C121="","",'영어 단어장'!C121)</f>
        <v>눈에 띄는, 두드러진</v>
      </c>
      <c r="C121" s="11"/>
      <c r="D121" s="21" t="str">
        <f>IF(OR(C121="",'영어 단어장'!B121=""),"",IF(EXACT(LOWER(TRIM(C121)),LOWER(TRIM('영어 단어장'!B121))),"",'영어 단어장'!B121))</f>
        <v/>
      </c>
      <c r="E121" s="15" t="str">
        <f>IF(OR(B121="",C121=""),"",IF(EXACT(LOWER(TRIM(C121)),LOWER(TRIM('영어 단어장'!B121))),"⭕","❌"))</f>
        <v/>
      </c>
      <c r="F121" s="12"/>
    </row>
    <row r="122" spans="1:6" ht="21" x14ac:dyDescent="0.4">
      <c r="A122" s="10">
        <f t="shared" si="1"/>
        <v>121</v>
      </c>
      <c r="B122" s="10" t="str">
        <f>IF('영어 단어장'!C122="","",'영어 단어장'!C122)</f>
        <v>직면하다</v>
      </c>
      <c r="C122" s="11"/>
      <c r="D122" s="21" t="str">
        <f>IF(OR(C122="",'영어 단어장'!B122=""),"",IF(EXACT(LOWER(TRIM(C122)),LOWER(TRIM('영어 단어장'!B122))),"",'영어 단어장'!B122))</f>
        <v/>
      </c>
      <c r="E122" s="15" t="str">
        <f>IF(OR(B122="",C122=""),"",IF(EXACT(LOWER(TRIM(C122)),LOWER(TRIM('영어 단어장'!B122))),"⭕","❌"))</f>
        <v/>
      </c>
      <c r="F122" s="12"/>
    </row>
    <row r="123" spans="1:6" ht="21" x14ac:dyDescent="0.4">
      <c r="A123" s="10">
        <f t="shared" si="1"/>
        <v>122</v>
      </c>
      <c r="B123" s="10" t="str">
        <f>IF('영어 단어장'!C123="","",'영어 단어장'!C123)</f>
        <v>묘사하다</v>
      </c>
      <c r="C123" s="11"/>
      <c r="D123" s="21" t="str">
        <f>IF(OR(C123="",'영어 단어장'!B123=""),"",IF(EXACT(LOWER(TRIM(C123)),LOWER(TRIM('영어 단어장'!B123))),"",'영어 단어장'!B123))</f>
        <v/>
      </c>
      <c r="E123" s="15" t="str">
        <f>IF(OR(B123="",C123=""),"",IF(EXACT(LOWER(TRIM(C123)),LOWER(TRIM('영어 단어장'!B123))),"⭕","❌"))</f>
        <v/>
      </c>
      <c r="F123" s="12"/>
    </row>
    <row r="124" spans="1:6" ht="21" x14ac:dyDescent="0.4">
      <c r="A124" s="10">
        <f t="shared" si="1"/>
        <v>123</v>
      </c>
      <c r="B124" s="10" t="str">
        <f>IF('영어 단어장'!C124="","",'영어 단어장'!C124)</f>
        <v>해고하다</v>
      </c>
      <c r="C124" s="11"/>
      <c r="D124" s="21" t="str">
        <f>IF(OR(C124="",'영어 단어장'!B124=""),"",IF(EXACT(LOWER(TRIM(C124)),LOWER(TRIM('영어 단어장'!B124))),"",'영어 단어장'!B124))</f>
        <v/>
      </c>
      <c r="E124" s="15" t="str">
        <f>IF(OR(B124="",C124=""),"",IF(EXACT(LOWER(TRIM(C124)),LOWER(TRIM('영어 단어장'!B124))),"⭕","❌"))</f>
        <v/>
      </c>
      <c r="F124" s="12"/>
    </row>
    <row r="125" spans="1:6" ht="21" x14ac:dyDescent="0.4">
      <c r="A125" s="10">
        <f t="shared" si="1"/>
        <v>124</v>
      </c>
      <c r="B125" s="10" t="str">
        <f>IF('영어 단어장'!C125="","",'영어 단어장'!C125)</f>
        <v>변동하다</v>
      </c>
      <c r="C125" s="11"/>
      <c r="D125" s="21" t="str">
        <f>IF(OR(C125="",'영어 단어장'!B125=""),"",IF(EXACT(LOWER(TRIM(C125)),LOWER(TRIM('영어 단어장'!B125))),"",'영어 단어장'!B125))</f>
        <v/>
      </c>
      <c r="E125" s="15" t="str">
        <f>IF(OR(B125="",C125=""),"",IF(EXACT(LOWER(TRIM(C125)),LOWER(TRIM('영어 단어장'!B125))),"⭕","❌"))</f>
        <v/>
      </c>
      <c r="F125" s="12"/>
    </row>
    <row r="126" spans="1:6" ht="21" x14ac:dyDescent="0.4">
      <c r="A126" s="10">
        <f t="shared" si="1"/>
        <v>125</v>
      </c>
      <c r="B126" s="10" t="str">
        <f>IF('영어 단어장'!C126="","",'영어 단어장'!C126)</f>
        <v>동기</v>
      </c>
      <c r="C126" s="11"/>
      <c r="D126" s="21" t="str">
        <f>IF(OR(C126="",'영어 단어장'!B126=""),"",IF(EXACT(LOWER(TRIM(C126)),LOWER(TRIM('영어 단어장'!B126))),"",'영어 단어장'!B126))</f>
        <v/>
      </c>
      <c r="E126" s="15" t="str">
        <f>IF(OR(B126="",C126=""),"",IF(EXACT(LOWER(TRIM(C126)),LOWER(TRIM('영어 단어장'!B126))),"⭕","❌"))</f>
        <v/>
      </c>
      <c r="F126" s="12"/>
    </row>
    <row r="127" spans="1:6" ht="21" x14ac:dyDescent="0.4">
      <c r="A127" s="10">
        <f t="shared" si="1"/>
        <v>126</v>
      </c>
      <c r="B127" s="10" t="str">
        <f>IF('영어 단어장'!C127="","",'영어 단어장'!C127)</f>
        <v>합법적인, 정당한</v>
      </c>
      <c r="C127" s="11"/>
      <c r="D127" s="21" t="str">
        <f>IF(OR(C127="",'영어 단어장'!B127=""),"",IF(EXACT(LOWER(TRIM(C127)),LOWER(TRIM('영어 단어장'!B127))),"",'영어 단어장'!B127))</f>
        <v/>
      </c>
      <c r="E127" s="15" t="str">
        <f>IF(OR(B127="",C127=""),"",IF(EXACT(LOWER(TRIM(C127)),LOWER(TRIM('영어 단어장'!B127))),"⭕","❌"))</f>
        <v/>
      </c>
      <c r="F127" s="12"/>
    </row>
    <row r="128" spans="1:6" ht="21" x14ac:dyDescent="0.4">
      <c r="A128" s="10">
        <f t="shared" si="1"/>
        <v>127</v>
      </c>
      <c r="B128" s="10" t="str">
        <f>IF('영어 단어장'!C128="","",'영어 단어장'!C128)</f>
        <v>하찮은</v>
      </c>
      <c r="C128" s="11"/>
      <c r="D128" s="21" t="str">
        <f>IF(OR(C128="",'영어 단어장'!B128=""),"",IF(EXACT(LOWER(TRIM(C128)),LOWER(TRIM('영어 단어장'!B128))),"",'영어 단어장'!B128))</f>
        <v/>
      </c>
      <c r="E128" s="15" t="str">
        <f>IF(OR(B128="",C128=""),"",IF(EXACT(LOWER(TRIM(C128)),LOWER(TRIM('영어 단어장'!B128))),"⭕","❌"))</f>
        <v/>
      </c>
      <c r="F128" s="12"/>
    </row>
    <row r="129" spans="1:6" ht="21" x14ac:dyDescent="0.4">
      <c r="A129" s="10">
        <f t="shared" si="1"/>
        <v>128</v>
      </c>
      <c r="B129" s="10" t="str">
        <f>IF('영어 단어장'!C129="","",'영어 단어장'!C129)</f>
        <v>앞서다, 선행하다</v>
      </c>
      <c r="C129" s="11"/>
      <c r="D129" s="21" t="str">
        <f>IF(OR(C129="",'영어 단어장'!B129=""),"",IF(EXACT(LOWER(TRIM(C129)),LOWER(TRIM('영어 단어장'!B129))),"",'영어 단어장'!B129))</f>
        <v/>
      </c>
      <c r="E129" s="15" t="str">
        <f>IF(OR(B129="",C129=""),"",IF(EXACT(LOWER(TRIM(C129)),LOWER(TRIM('영어 단어장'!B129))),"⭕","❌"))</f>
        <v/>
      </c>
      <c r="F129" s="12"/>
    </row>
    <row r="130" spans="1:6" ht="21" x14ac:dyDescent="0.4">
      <c r="A130" s="10">
        <f t="shared" si="1"/>
        <v>129</v>
      </c>
      <c r="B130" s="10" t="str">
        <f>IF('영어 단어장'!C130="","",'영어 단어장'!C130)</f>
        <v>반박하다</v>
      </c>
      <c r="C130" s="11"/>
      <c r="D130" s="21" t="str">
        <f>IF(OR(C130="",'영어 단어장'!B130=""),"",IF(EXACT(LOWER(TRIM(C130)),LOWER(TRIM('영어 단어장'!B130))),"",'영어 단어장'!B130))</f>
        <v/>
      </c>
      <c r="E130" s="15" t="str">
        <f>IF(OR(B130="",C130=""),"",IF(EXACT(LOWER(TRIM(C130)),LOWER(TRIM('영어 단어장'!B130))),"⭕","❌"))</f>
        <v/>
      </c>
      <c r="F130" s="12"/>
    </row>
    <row r="131" spans="1:6" ht="21" x14ac:dyDescent="0.4">
      <c r="A131" s="10">
        <f t="shared" ref="A131:A194" si="2">ROW()-1</f>
        <v>130</v>
      </c>
      <c r="B131" s="10" t="str">
        <f>IF('영어 단어장'!C131="","",'영어 단어장'!C131)</f>
        <v>동시의</v>
      </c>
      <c r="C131" s="11"/>
      <c r="D131" s="21" t="str">
        <f>IF(OR(C131="",'영어 단어장'!B131=""),"",IF(EXACT(LOWER(TRIM(C131)),LOWER(TRIM('영어 단어장'!B131))),"",'영어 단어장'!B131))</f>
        <v/>
      </c>
      <c r="E131" s="15" t="str">
        <f>IF(OR(B131="",C131=""),"",IF(EXACT(LOWER(TRIM(C131)),LOWER(TRIM('영어 단어장'!B131))),"⭕","❌"))</f>
        <v/>
      </c>
      <c r="F131" s="12"/>
    </row>
    <row r="132" spans="1:6" ht="21" x14ac:dyDescent="0.4">
      <c r="A132" s="10">
        <f t="shared" si="2"/>
        <v>131</v>
      </c>
      <c r="B132" s="10" t="str">
        <f>IF('영어 단어장'!C132="","",'영어 단어장'!C132)</f>
        <v>만장일치의</v>
      </c>
      <c r="C132" s="11"/>
      <c r="D132" s="21" t="str">
        <f>IF(OR(C132="",'영어 단어장'!B132=""),"",IF(EXACT(LOWER(TRIM(C132)),LOWER(TRIM('영어 단어장'!B132))),"",'영어 단어장'!B132))</f>
        <v/>
      </c>
      <c r="E132" s="15" t="str">
        <f>IF(OR(B132="",C132=""),"",IF(EXACT(LOWER(TRIM(C132)),LOWER(TRIM('영어 단어장'!B132))),"⭕","❌"))</f>
        <v/>
      </c>
      <c r="F132" s="12"/>
    </row>
    <row r="133" spans="1:6" ht="21" x14ac:dyDescent="0.4">
      <c r="A133" s="10">
        <f t="shared" si="2"/>
        <v>132</v>
      </c>
      <c r="B133" s="10" t="str">
        <f>IF('영어 단어장'!C133="","",'영어 단어장'!C133)</f>
        <v>익명의</v>
      </c>
      <c r="C133" s="11"/>
      <c r="D133" s="21" t="str">
        <f>IF(OR(C133="",'영어 단어장'!B133=""),"",IF(EXACT(LOWER(TRIM(C133)),LOWER(TRIM('영어 단어장'!B133))),"",'영어 단어장'!B133))</f>
        <v/>
      </c>
      <c r="E133" s="15" t="str">
        <f>IF(OR(B133="",C133=""),"",IF(EXACT(LOWER(TRIM(C133)),LOWER(TRIM('영어 단어장'!B133))),"⭕","❌"))</f>
        <v/>
      </c>
      <c r="F133" s="12"/>
    </row>
    <row r="134" spans="1:6" ht="21" x14ac:dyDescent="0.4">
      <c r="A134" s="10">
        <f t="shared" si="2"/>
        <v>133</v>
      </c>
      <c r="B134" s="10" t="str">
        <f>IF('영어 단어장'!C134="","",'영어 단어장'!C134)</f>
        <v>활용하다</v>
      </c>
      <c r="C134" s="11"/>
      <c r="D134" s="21" t="str">
        <f>IF(OR(C134="",'영어 단어장'!B134=""),"",IF(EXACT(LOWER(TRIM(C134)),LOWER(TRIM('영어 단어장'!B134))),"",'영어 단어장'!B134))</f>
        <v/>
      </c>
      <c r="E134" s="15" t="str">
        <f>IF(OR(B134="",C134=""),"",IF(EXACT(LOWER(TRIM(C134)),LOWER(TRIM('영어 단어장'!B134))),"⭕","❌"))</f>
        <v/>
      </c>
      <c r="F134" s="12"/>
    </row>
    <row r="135" spans="1:6" ht="21" x14ac:dyDescent="0.4">
      <c r="A135" s="10">
        <f t="shared" si="2"/>
        <v>134</v>
      </c>
      <c r="B135" s="10" t="str">
        <f>IF('영어 단어장'!C135="","",'영어 단어장'!C135)</f>
        <v>가속하다</v>
      </c>
      <c r="C135" s="11"/>
      <c r="D135" s="21" t="str">
        <f>IF(OR(C135="",'영어 단어장'!B135=""),"",IF(EXACT(LOWER(TRIM(C135)),LOWER(TRIM('영어 단어장'!B135))),"",'영어 단어장'!B135))</f>
        <v/>
      </c>
      <c r="E135" s="15" t="str">
        <f>IF(OR(B135="",C135=""),"",IF(EXACT(LOWER(TRIM(C135)),LOWER(TRIM('영어 단어장'!B135))),"⭕","❌"))</f>
        <v/>
      </c>
      <c r="F135" s="12"/>
    </row>
    <row r="136" spans="1:6" ht="21" x14ac:dyDescent="0.4">
      <c r="A136" s="10">
        <f t="shared" si="2"/>
        <v>135</v>
      </c>
      <c r="B136" s="10" t="str">
        <f>IF('영어 단어장'!C136="","",'영어 단어장'!C136)</f>
        <v>자비로운</v>
      </c>
      <c r="C136" s="11"/>
      <c r="D136" s="21" t="str">
        <f>IF(OR(C136="",'영어 단어장'!B136=""),"",IF(EXACT(LOWER(TRIM(C136)),LOWER(TRIM('영어 단어장'!B136))),"",'영어 단어장'!B136))</f>
        <v/>
      </c>
      <c r="E136" s="15" t="str">
        <f>IF(OR(B136="",C136=""),"",IF(EXACT(LOWER(TRIM(C136)),LOWER(TRIM('영어 단어장'!B136))),"⭕","❌"))</f>
        <v/>
      </c>
      <c r="F136" s="12"/>
    </row>
    <row r="137" spans="1:6" ht="21" x14ac:dyDescent="0.4">
      <c r="A137" s="10">
        <f t="shared" si="2"/>
        <v>136</v>
      </c>
      <c r="B137" s="10" t="str">
        <f>IF('영어 단어장'!C137="","",'영어 단어장'!C137)</f>
        <v>조심스러운</v>
      </c>
      <c r="C137" s="11"/>
      <c r="D137" s="21" t="str">
        <f>IF(OR(C137="",'영어 단어장'!B137=""),"",IF(EXACT(LOWER(TRIM(C137)),LOWER(TRIM('영어 단어장'!B137))),"",'영어 단어장'!B137))</f>
        <v/>
      </c>
      <c r="E137" s="15" t="str">
        <f>IF(OR(B137="",C137=""),"",IF(EXACT(LOWER(TRIM(C137)),LOWER(TRIM('영어 단어장'!B137))),"⭕","❌"))</f>
        <v/>
      </c>
      <c r="F137" s="12"/>
    </row>
    <row r="138" spans="1:6" ht="21" x14ac:dyDescent="0.4">
      <c r="A138" s="10">
        <f t="shared" si="2"/>
        <v>137</v>
      </c>
      <c r="B138" s="10" t="str">
        <f>IF('영어 단어장'!C138="","",'영어 단어장'!C138)</f>
        <v>해독하다</v>
      </c>
      <c r="C138" s="11"/>
      <c r="D138" s="21" t="str">
        <f>IF(OR(C138="",'영어 단어장'!B138=""),"",IF(EXACT(LOWER(TRIM(C138)),LOWER(TRIM('영어 단어장'!B138))),"",'영어 단어장'!B138))</f>
        <v/>
      </c>
      <c r="E138" s="15" t="str">
        <f>IF(OR(B138="",C138=""),"",IF(EXACT(LOWER(TRIM(C138)),LOWER(TRIM('영어 단어장'!B138))),"⭕","❌"))</f>
        <v/>
      </c>
      <c r="F138" s="12"/>
    </row>
    <row r="139" spans="1:6" ht="21" x14ac:dyDescent="0.4">
      <c r="A139" s="10">
        <f t="shared" si="2"/>
        <v>138</v>
      </c>
      <c r="B139" s="10" t="str">
        <f>IF('영어 단어장'!C139="","",'영어 단어장'!C139)</f>
        <v>연약한, 깨지기 쉬운</v>
      </c>
      <c r="C139" s="11"/>
      <c r="D139" s="21" t="str">
        <f>IF(OR(C139="",'영어 단어장'!B139=""),"",IF(EXACT(LOWER(TRIM(C139)),LOWER(TRIM('영어 단어장'!B139))),"",'영어 단어장'!B139))</f>
        <v/>
      </c>
      <c r="E139" s="15" t="str">
        <f>IF(OR(B139="",C139=""),"",IF(EXACT(LOWER(TRIM(C139)),LOWER(TRIM('영어 단어장'!B139))),"⭕","❌"))</f>
        <v/>
      </c>
      <c r="F139" s="12"/>
    </row>
    <row r="140" spans="1:6" ht="21" x14ac:dyDescent="0.4">
      <c r="A140" s="10">
        <f t="shared" si="2"/>
        <v>139</v>
      </c>
      <c r="B140" s="10" t="str">
        <f>IF('영어 단어장'!C140="","",'영어 단어장'!C140)</f>
        <v>일회용의</v>
      </c>
      <c r="C140" s="11"/>
      <c r="D140" s="21" t="str">
        <f>IF(OR(C140="",'영어 단어장'!B140=""),"",IF(EXACT(LOWER(TRIM(C140)),LOWER(TRIM('영어 단어장'!B140))),"",'영어 단어장'!B140))</f>
        <v/>
      </c>
      <c r="E140" s="15" t="str">
        <f>IF(OR(B140="",C140=""),"",IF(EXACT(LOWER(TRIM(C140)),LOWER(TRIM('영어 단어장'!B140))),"⭕","❌"))</f>
        <v/>
      </c>
      <c r="F140" s="12"/>
    </row>
    <row r="141" spans="1:6" ht="21" x14ac:dyDescent="0.4">
      <c r="A141" s="10">
        <f t="shared" si="2"/>
        <v>140</v>
      </c>
      <c r="B141" s="10" t="str">
        <f>IF('영어 단어장'!C141="","",'영어 단어장'!C141)</f>
        <v>핑계를 대다</v>
      </c>
      <c r="C141" s="11"/>
      <c r="D141" s="21" t="str">
        <f>IF(OR(C141="",'영어 단어장'!B141=""),"",IF(EXACT(LOWER(TRIM(C141)),LOWER(TRIM('영어 단어장'!B141))),"",'영어 단어장'!B141))</f>
        <v/>
      </c>
      <c r="E141" s="15" t="str">
        <f>IF(OR(B141="",C141=""),"",IF(EXACT(LOWER(TRIM(C141)),LOWER(TRIM('영어 단어장'!B141))),"⭕","❌"))</f>
        <v/>
      </c>
      <c r="F141" s="12"/>
    </row>
    <row r="142" spans="1:6" ht="21" x14ac:dyDescent="0.4">
      <c r="A142" s="10">
        <f t="shared" si="2"/>
        <v>141</v>
      </c>
      <c r="B142" s="10" t="str">
        <f>IF('영어 단어장'!C142="","",'영어 단어장'!C142)</f>
        <v>흉내내다</v>
      </c>
      <c r="C142" s="11"/>
      <c r="D142" s="21" t="str">
        <f>IF(OR(C142="",'영어 단어장'!B142=""),"",IF(EXACT(LOWER(TRIM(C142)),LOWER(TRIM('영어 단어장'!B142))),"",'영어 단어장'!B142))</f>
        <v/>
      </c>
      <c r="E142" s="15" t="str">
        <f>IF(OR(B142="",C142=""),"",IF(EXACT(LOWER(TRIM(C142)),LOWER(TRIM('영어 단어장'!B142))),"⭕","❌"))</f>
        <v/>
      </c>
      <c r="F142" s="12"/>
    </row>
    <row r="143" spans="1:6" ht="21" x14ac:dyDescent="0.4">
      <c r="A143" s="10">
        <f t="shared" si="2"/>
        <v>142</v>
      </c>
      <c r="B143" s="10" t="str">
        <f>IF('영어 단어장'!C143="","",'영어 단어장'!C143)</f>
        <v>정지시키다</v>
      </c>
      <c r="C143" s="11"/>
      <c r="D143" s="21" t="str">
        <f>IF(OR(C143="",'영어 단어장'!B143=""),"",IF(EXACT(LOWER(TRIM(C143)),LOWER(TRIM('영어 단어장'!B143))),"",'영어 단어장'!B143))</f>
        <v/>
      </c>
      <c r="E143" s="15" t="str">
        <f>IF(OR(B143="",C143=""),"",IF(EXACT(LOWER(TRIM(C143)),LOWER(TRIM('영어 단어장'!B143))),"⭕","❌"))</f>
        <v/>
      </c>
      <c r="F143" s="12"/>
    </row>
    <row r="144" spans="1:6" ht="21" x14ac:dyDescent="0.4">
      <c r="A144" s="10">
        <f t="shared" si="2"/>
        <v>143</v>
      </c>
      <c r="B144" s="10" t="str">
        <f>IF('영어 단어장'!C144="","",'영어 단어장'!C144)</f>
        <v>널리퍼진</v>
      </c>
      <c r="C144" s="11"/>
      <c r="D144" s="21" t="str">
        <f>IF(OR(C144="",'영어 단어장'!B144=""),"",IF(EXACT(LOWER(TRIM(C144)),LOWER(TRIM('영어 단어장'!B144))),"",'영어 단어장'!B144))</f>
        <v/>
      </c>
      <c r="E144" s="15" t="str">
        <f>IF(OR(B144="",C144=""),"",IF(EXACT(LOWER(TRIM(C144)),LOWER(TRIM('영어 단어장'!B144))),"⭕","❌"))</f>
        <v/>
      </c>
      <c r="F144" s="12"/>
    </row>
    <row r="145" spans="1:6" ht="21" x14ac:dyDescent="0.4">
      <c r="A145" s="10">
        <f t="shared" si="2"/>
        <v>144</v>
      </c>
      <c r="B145" s="10" t="str">
        <f>IF('영어 단어장'!C145="","",'영어 단어장'!C145)</f>
        <v>수익성이 좋은</v>
      </c>
      <c r="C145" s="11"/>
      <c r="D145" s="21" t="str">
        <f>IF(OR(C145="",'영어 단어장'!B145=""),"",IF(EXACT(LOWER(TRIM(C145)),LOWER(TRIM('영어 단어장'!B145))),"",'영어 단어장'!B145))</f>
        <v/>
      </c>
      <c r="E145" s="15" t="str">
        <f>IF(OR(B145="",C145=""),"",IF(EXACT(LOWER(TRIM(C145)),LOWER(TRIM('영어 단어장'!B145))),"⭕","❌"))</f>
        <v/>
      </c>
      <c r="F145" s="12"/>
    </row>
    <row r="146" spans="1:6" ht="21" x14ac:dyDescent="0.4">
      <c r="A146" s="10">
        <f t="shared" si="2"/>
        <v>145</v>
      </c>
      <c r="B146" s="10" t="str">
        <f>IF('영어 단어장'!C146="","",'영어 단어장'!C146)</f>
        <v>불확실한, 잠정적인</v>
      </c>
      <c r="C146" s="11"/>
      <c r="D146" s="21" t="str">
        <f>IF(OR(C146="",'영어 단어장'!B146=""),"",IF(EXACT(LOWER(TRIM(C146)),LOWER(TRIM('영어 단어장'!B146))),"",'영어 단어장'!B146))</f>
        <v/>
      </c>
      <c r="E146" s="15" t="str">
        <f>IF(OR(B146="",C146=""),"",IF(EXACT(LOWER(TRIM(C146)),LOWER(TRIM('영어 단어장'!B146))),"⭕","❌"))</f>
        <v/>
      </c>
      <c r="F146" s="12"/>
    </row>
    <row r="147" spans="1:6" ht="21" x14ac:dyDescent="0.4">
      <c r="A147" s="10">
        <f t="shared" si="2"/>
        <v>146</v>
      </c>
      <c r="B147" s="10" t="str">
        <f>IF('영어 단어장'!C147="","",'영어 단어장'!C147)</f>
        <v>부유한</v>
      </c>
      <c r="C147" s="11"/>
      <c r="D147" s="21" t="str">
        <f>IF(OR(C147="",'영어 단어장'!B147=""),"",IF(EXACT(LOWER(TRIM(C147)),LOWER(TRIM('영어 단어장'!B147))),"",'영어 단어장'!B147))</f>
        <v/>
      </c>
      <c r="E147" s="15" t="str">
        <f>IF(OR(B147="",C147=""),"",IF(EXACT(LOWER(TRIM(C147)),LOWER(TRIM('영어 단어장'!B147))),"⭕","❌"))</f>
        <v/>
      </c>
      <c r="F147" s="12"/>
    </row>
    <row r="148" spans="1:6" ht="21" x14ac:dyDescent="0.4">
      <c r="A148" s="10">
        <f t="shared" si="2"/>
        <v>147</v>
      </c>
      <c r="B148" s="10" t="str">
        <f>IF('영어 단어장'!C148="","",'영어 단어장'!C148)</f>
        <v>~을 고수하다</v>
      </c>
      <c r="C148" s="11"/>
      <c r="D148" s="21" t="str">
        <f>IF(OR(C148="",'영어 단어장'!B148=""),"",IF(EXACT(LOWER(TRIM(C148)),LOWER(TRIM('영어 단어장'!B148))),"",'영어 단어장'!B148))</f>
        <v/>
      </c>
      <c r="E148" s="15" t="str">
        <f>IF(OR(B148="",C148=""),"",IF(EXACT(LOWER(TRIM(C148)),LOWER(TRIM('영어 단어장'!B148))),"⭕","❌"))</f>
        <v/>
      </c>
      <c r="F148" s="12"/>
    </row>
    <row r="149" spans="1:6" ht="21" x14ac:dyDescent="0.4">
      <c r="A149" s="10">
        <f t="shared" si="2"/>
        <v>148</v>
      </c>
      <c r="B149" s="10" t="str">
        <f>IF('영어 단어장'!C149="","",'영어 단어장'!C149)</f>
        <v>~을 훑어보다</v>
      </c>
      <c r="C149" s="11"/>
      <c r="D149" s="21" t="str">
        <f>IF(OR(C149="",'영어 단어장'!B149=""),"",IF(EXACT(LOWER(TRIM(C149)),LOWER(TRIM('영어 단어장'!B149))),"",'영어 단어장'!B149))</f>
        <v/>
      </c>
      <c r="E149" s="15" t="str">
        <f>IF(OR(B149="",C149=""),"",IF(EXACT(LOWER(TRIM(C149)),LOWER(TRIM('영어 단어장'!B149))),"⭕","❌"))</f>
        <v/>
      </c>
      <c r="F149" s="12"/>
    </row>
    <row r="150" spans="1:6" ht="21" x14ac:dyDescent="0.4">
      <c r="A150" s="10">
        <f t="shared" si="2"/>
        <v>149</v>
      </c>
      <c r="B150" s="10" t="str">
        <f>IF('영어 단어장'!C150="","",'영어 단어장'!C150)</f>
        <v>~을 닮다</v>
      </c>
      <c r="C150" s="11"/>
      <c r="D150" s="21" t="str">
        <f>IF(OR(C150="",'영어 단어장'!B150=""),"",IF(EXACT(LOWER(TRIM(C150)),LOWER(TRIM('영어 단어장'!B150))),"",'영어 단어장'!B150))</f>
        <v/>
      </c>
      <c r="E150" s="15" t="str">
        <f>IF(OR(B150="",C150=""),"",IF(EXACT(LOWER(TRIM(C150)),LOWER(TRIM('영어 단어장'!B150))),"⭕","❌"))</f>
        <v/>
      </c>
      <c r="F150" s="12"/>
    </row>
    <row r="151" spans="1:6" ht="21" x14ac:dyDescent="0.4">
      <c r="A151" s="10">
        <f t="shared" si="2"/>
        <v>150</v>
      </c>
      <c r="B151" s="10" t="str">
        <f>IF('영어 단어장'!C151="","",'영어 단어장'!C151)</f>
        <v>단조로운</v>
      </c>
      <c r="C151" s="11"/>
      <c r="D151" s="21" t="str">
        <f>IF(OR(C151="",'영어 단어장'!B151=""),"",IF(EXACT(LOWER(TRIM(C151)),LOWER(TRIM('영어 단어장'!B151))),"",'영어 단어장'!B151))</f>
        <v/>
      </c>
      <c r="E151" s="15" t="str">
        <f>IF(OR(B151="",C151=""),"",IF(EXACT(LOWER(TRIM(C151)),LOWER(TRIM('영어 단어장'!B151))),"⭕","❌"))</f>
        <v/>
      </c>
      <c r="F151" s="12"/>
    </row>
    <row r="152" spans="1:6" ht="21" x14ac:dyDescent="0.4">
      <c r="A152" s="10">
        <f t="shared" si="2"/>
        <v>151</v>
      </c>
      <c r="B152" s="10" t="str">
        <f>IF('영어 단어장'!C152="","",'영어 단어장'!C152)</f>
        <v>동의어의</v>
      </c>
      <c r="C152" s="11"/>
      <c r="D152" s="21" t="str">
        <f>IF(OR(C152="",'영어 단어장'!B152=""),"",IF(EXACT(LOWER(TRIM(C152)),LOWER(TRIM('영어 단어장'!B152))),"",'영어 단어장'!B152))</f>
        <v/>
      </c>
      <c r="E152" s="15" t="str">
        <f>IF(OR(B152="",C152=""),"",IF(EXACT(LOWER(TRIM(C152)),LOWER(TRIM('영어 단어장'!B152))),"⭕","❌"))</f>
        <v/>
      </c>
      <c r="F152" s="12"/>
    </row>
    <row r="153" spans="1:6" ht="21" x14ac:dyDescent="0.4">
      <c r="A153" s="10">
        <f t="shared" si="2"/>
        <v>152</v>
      </c>
      <c r="B153" s="10" t="str">
        <f>IF('영어 단어장'!C153="","",'영어 단어장'!C153)</f>
        <v>멸시의</v>
      </c>
      <c r="C153" s="11"/>
      <c r="D153" s="21" t="str">
        <f>IF(OR(C153="",'영어 단어장'!B153=""),"",IF(EXACT(LOWER(TRIM(C153)),LOWER(TRIM('영어 단어장'!B153))),"",'영어 단어장'!B153))</f>
        <v/>
      </c>
      <c r="E153" s="15" t="str">
        <f>IF(OR(B153="",C153=""),"",IF(EXACT(LOWER(TRIM(C153)),LOWER(TRIM('영어 단어장'!B153))),"⭕","❌"))</f>
        <v/>
      </c>
      <c r="F153" s="12"/>
    </row>
    <row r="154" spans="1:6" ht="21" x14ac:dyDescent="0.4">
      <c r="A154" s="10">
        <f t="shared" si="2"/>
        <v>153</v>
      </c>
      <c r="B154" s="10" t="str">
        <f>IF('영어 단어장'!C154="","",'영어 단어장'!C154)</f>
        <v>에워싸다, 동봉하다</v>
      </c>
      <c r="C154" s="11"/>
      <c r="D154" s="21" t="str">
        <f>IF(OR(C154="",'영어 단어장'!B154=""),"",IF(EXACT(LOWER(TRIM(C154)),LOWER(TRIM('영어 단어장'!B154))),"",'영어 단어장'!B154))</f>
        <v/>
      </c>
      <c r="E154" s="15" t="str">
        <f>IF(OR(B154="",C154=""),"",IF(EXACT(LOWER(TRIM(C154)),LOWER(TRIM('영어 단어장'!B154))),"⭕","❌"))</f>
        <v/>
      </c>
      <c r="F154" s="12"/>
    </row>
    <row r="155" spans="1:6" ht="21" x14ac:dyDescent="0.4">
      <c r="A155" s="10">
        <f t="shared" si="2"/>
        <v>154</v>
      </c>
      <c r="B155" s="10" t="str">
        <f>IF('영어 단어장'!C155="","",'영어 단어장'!C155)</f>
        <v>몰두하게 만들다</v>
      </c>
      <c r="C155" s="11"/>
      <c r="D155" s="21" t="str">
        <f>IF(OR(C155="",'영어 단어장'!B155=""),"",IF(EXACT(LOWER(TRIM(C155)),LOWER(TRIM('영어 단어장'!B155))),"",'영어 단어장'!B155))</f>
        <v/>
      </c>
      <c r="E155" s="15" t="str">
        <f>IF(OR(B155="",C155=""),"",IF(EXACT(LOWER(TRIM(C155)),LOWER(TRIM('영어 단어장'!B155))),"⭕","❌"))</f>
        <v/>
      </c>
      <c r="F155" s="12"/>
    </row>
    <row r="156" spans="1:6" ht="21" x14ac:dyDescent="0.4">
      <c r="A156" s="10">
        <f t="shared" si="2"/>
        <v>155</v>
      </c>
      <c r="B156" s="10" t="str">
        <f>IF('영어 단어장'!C156="","",'영어 단어장'!C156)</f>
        <v>요약하다</v>
      </c>
      <c r="C156" s="11"/>
      <c r="D156" s="21" t="str">
        <f>IF(OR(C156="",'영어 단어장'!B156=""),"",IF(EXACT(LOWER(TRIM(C156)),LOWER(TRIM('영어 단어장'!B156))),"",'영어 단어장'!B156))</f>
        <v/>
      </c>
      <c r="E156" s="15" t="str">
        <f>IF(OR(B156="",C156=""),"",IF(EXACT(LOWER(TRIM(C156)),LOWER(TRIM('영어 단어장'!B156))),"⭕","❌"))</f>
        <v/>
      </c>
      <c r="F156" s="12"/>
    </row>
    <row r="157" spans="1:6" ht="21" x14ac:dyDescent="0.4">
      <c r="A157" s="10">
        <f t="shared" si="2"/>
        <v>156</v>
      </c>
      <c r="B157" s="10" t="str">
        <f>IF('영어 단어장'!C157="","",'영어 단어장'!C157)</f>
        <v>소멸한</v>
      </c>
      <c r="C157" s="11"/>
      <c r="D157" s="21" t="str">
        <f>IF(OR(C157="",'영어 단어장'!B157=""),"",IF(EXACT(LOWER(TRIM(C157)),LOWER(TRIM('영어 단어장'!B157))),"",'영어 단어장'!B157))</f>
        <v/>
      </c>
      <c r="E157" s="15" t="str">
        <f>IF(OR(B157="",C157=""),"",IF(EXACT(LOWER(TRIM(C157)),LOWER(TRIM('영어 단어장'!B157))),"⭕","❌"))</f>
        <v/>
      </c>
      <c r="F157" s="12"/>
    </row>
    <row r="158" spans="1:6" ht="21" x14ac:dyDescent="0.4">
      <c r="A158" s="10">
        <f t="shared" si="2"/>
        <v>157</v>
      </c>
      <c r="B158" s="10" t="str">
        <f>IF('영어 단어장'!C158="","",'영어 단어장'!C158)</f>
        <v>무기력한</v>
      </c>
      <c r="C158" s="11"/>
      <c r="D158" s="21" t="str">
        <f>IF(OR(C158="",'영어 단어장'!B158=""),"",IF(EXACT(LOWER(TRIM(C158)),LOWER(TRIM('영어 단어장'!B158))),"",'영어 단어장'!B158))</f>
        <v/>
      </c>
      <c r="E158" s="15" t="str">
        <f>IF(OR(B158="",C158=""),"",IF(EXACT(LOWER(TRIM(C158)),LOWER(TRIM('영어 단어장'!B158))),"⭕","❌"))</f>
        <v/>
      </c>
      <c r="F158" s="12"/>
    </row>
    <row r="159" spans="1:6" ht="21" x14ac:dyDescent="0.4">
      <c r="A159" s="10">
        <f t="shared" si="2"/>
        <v>158</v>
      </c>
      <c r="B159" s="10" t="str">
        <f>IF('영어 단어장'!C159="","",'영어 단어장'!C159)</f>
        <v>좌절된</v>
      </c>
      <c r="C159" s="11"/>
      <c r="D159" s="21" t="str">
        <f>IF(OR(C159="",'영어 단어장'!B159=""),"",IF(EXACT(LOWER(TRIM(C159)),LOWER(TRIM('영어 단어장'!B159))),"",'영어 단어장'!B159))</f>
        <v/>
      </c>
      <c r="E159" s="15" t="str">
        <f>IF(OR(B159="",C159=""),"",IF(EXACT(LOWER(TRIM(C159)),LOWER(TRIM('영어 단어장'!B159))),"⭕","❌"))</f>
        <v/>
      </c>
      <c r="F159" s="12"/>
    </row>
    <row r="160" spans="1:6" ht="21" x14ac:dyDescent="0.4">
      <c r="A160" s="10">
        <f t="shared" si="2"/>
        <v>159</v>
      </c>
      <c r="B160" s="10" t="str">
        <f>IF('영어 단어장'!C160="","",'영어 단어장'!C160)</f>
        <v>굴욕, 당황스러운</v>
      </c>
      <c r="C160" s="11"/>
      <c r="D160" s="21" t="str">
        <f>IF(OR(C160="",'영어 단어장'!B160=""),"",IF(EXACT(LOWER(TRIM(C160)),LOWER(TRIM('영어 단어장'!B160))),"",'영어 단어장'!B160))</f>
        <v/>
      </c>
      <c r="E160" s="15" t="str">
        <f>IF(OR(B160="",C160=""),"",IF(EXACT(LOWER(TRIM(C160)),LOWER(TRIM('영어 단어장'!B160))),"⭕","❌"))</f>
        <v/>
      </c>
      <c r="F160" s="12"/>
    </row>
    <row r="161" spans="1:6" ht="21" x14ac:dyDescent="0.4">
      <c r="A161" s="10">
        <f t="shared" si="2"/>
        <v>160</v>
      </c>
      <c r="B161" s="10" t="str">
        <f>IF('영어 단어장'!C161="","",'영어 단어장'!C161)</f>
        <v>밀다, 다투다</v>
      </c>
      <c r="C161" s="11"/>
      <c r="D161" s="21" t="str">
        <f>IF(OR(C161="",'영어 단어장'!B161=""),"",IF(EXACT(LOWER(TRIM(C161)),LOWER(TRIM('영어 단어장'!B161))),"",'영어 단어장'!B161))</f>
        <v/>
      </c>
      <c r="E161" s="15" t="str">
        <f>IF(OR(B161="",C161=""),"",IF(EXACT(LOWER(TRIM(C161)),LOWER(TRIM('영어 단어장'!B161))),"⭕","❌"))</f>
        <v/>
      </c>
      <c r="F161" s="12"/>
    </row>
    <row r="162" spans="1:6" ht="21" x14ac:dyDescent="0.4">
      <c r="A162" s="10">
        <f t="shared" si="2"/>
        <v>161</v>
      </c>
      <c r="B162" s="10" t="str">
        <f>IF('영어 단어장'!C162="","",'영어 단어장'!C162)</f>
        <v>자리잡다</v>
      </c>
      <c r="C162" s="11"/>
      <c r="D162" s="21" t="str">
        <f>IF(OR(C162="",'영어 단어장'!B162=""),"",IF(EXACT(LOWER(TRIM(C162)),LOWER(TRIM('영어 단어장'!B162))),"",'영어 단어장'!B162))</f>
        <v/>
      </c>
      <c r="E162" s="15" t="str">
        <f>IF(OR(B162="",C162=""),"",IF(EXACT(LOWER(TRIM(C162)),LOWER(TRIM('영어 단어장'!B162))),"⭕","❌"))</f>
        <v/>
      </c>
      <c r="F162" s="12"/>
    </row>
    <row r="163" spans="1:6" ht="21" x14ac:dyDescent="0.4">
      <c r="A163" s="10">
        <f t="shared" si="2"/>
        <v>162</v>
      </c>
      <c r="B163" s="10" t="str">
        <f>IF('영어 단어장'!C163="","",'영어 단어장'!C163)</f>
        <v>더럽히다</v>
      </c>
      <c r="C163" s="11"/>
      <c r="D163" s="21" t="str">
        <f>IF(OR(C163="",'영어 단어장'!B163=""),"",IF(EXACT(LOWER(TRIM(C163)),LOWER(TRIM('영어 단어장'!B163))),"",'영어 단어장'!B163))</f>
        <v/>
      </c>
      <c r="E163" s="15" t="str">
        <f>IF(OR(B163="",C163=""),"",IF(EXACT(LOWER(TRIM(C163)),LOWER(TRIM('영어 단어장'!B163))),"⭕","❌"))</f>
        <v/>
      </c>
      <c r="F163" s="12"/>
    </row>
    <row r="164" spans="1:6" ht="21" x14ac:dyDescent="0.4">
      <c r="A164" s="10">
        <f t="shared" si="2"/>
        <v>163</v>
      </c>
      <c r="B164" s="10" t="str">
        <f>IF('영어 단어장'!C164="","",'영어 단어장'!C164)</f>
        <v>소집하다</v>
      </c>
      <c r="C164" s="11"/>
      <c r="D164" s="21" t="str">
        <f>IF(OR(C164="",'영어 단어장'!B164=""),"",IF(EXACT(LOWER(TRIM(C164)),LOWER(TRIM('영어 단어장'!B164))),"",'영어 단어장'!B164))</f>
        <v/>
      </c>
      <c r="E164" s="15" t="str">
        <f>IF(OR(B164="",C164=""),"",IF(EXACT(LOWER(TRIM(C164)),LOWER(TRIM('영어 단어장'!B164))),"⭕","❌"))</f>
        <v/>
      </c>
      <c r="F164" s="12"/>
    </row>
    <row r="165" spans="1:6" ht="21" x14ac:dyDescent="0.4">
      <c r="A165" s="10">
        <f t="shared" si="2"/>
        <v>164</v>
      </c>
      <c r="B165" s="10" t="str">
        <f>IF('영어 단어장'!C165="","",'영어 단어장'!C165)</f>
        <v>전시하다</v>
      </c>
      <c r="C165" s="11"/>
      <c r="D165" s="21" t="str">
        <f>IF(OR(C165="",'영어 단어장'!B165=""),"",IF(EXACT(LOWER(TRIM(C165)),LOWER(TRIM('영어 단어장'!B165))),"",'영어 단어장'!B165))</f>
        <v/>
      </c>
      <c r="E165" s="15" t="str">
        <f>IF(OR(B165="",C165=""),"",IF(EXACT(LOWER(TRIM(C165)),LOWER(TRIM('영어 단어장'!B165))),"⭕","❌"))</f>
        <v/>
      </c>
      <c r="F165" s="12"/>
    </row>
    <row r="166" spans="1:6" ht="21" x14ac:dyDescent="0.4">
      <c r="A166" s="10">
        <f t="shared" si="2"/>
        <v>165</v>
      </c>
      <c r="B166" s="10" t="str">
        <f>IF('영어 단어장'!C166="","",'영어 단어장'!C166)</f>
        <v>노출하다</v>
      </c>
      <c r="C166" s="11"/>
      <c r="D166" s="21" t="str">
        <f>IF(OR(C166="",'영어 단어장'!B166=""),"",IF(EXACT(LOWER(TRIM(C166)),LOWER(TRIM('영어 단어장'!B166))),"",'영어 단어장'!B166))</f>
        <v/>
      </c>
      <c r="E166" s="15" t="str">
        <f>IF(OR(B166="",C166=""),"",IF(EXACT(LOWER(TRIM(C166)),LOWER(TRIM('영어 단어장'!B166))),"⭕","❌"))</f>
        <v/>
      </c>
      <c r="F166" s="12"/>
    </row>
    <row r="167" spans="1:6" ht="21" x14ac:dyDescent="0.4">
      <c r="A167" s="10">
        <f t="shared" si="2"/>
        <v>166</v>
      </c>
      <c r="B167" s="10" t="str">
        <f>IF('영어 단어장'!C167="","",'영어 단어장'!C167)</f>
        <v>발행하다</v>
      </c>
      <c r="C167" s="11"/>
      <c r="D167" s="21" t="str">
        <f>IF(OR(C167="",'영어 단어장'!B167=""),"",IF(EXACT(LOWER(TRIM(C167)),LOWER(TRIM('영어 단어장'!B167))),"",'영어 단어장'!B167))</f>
        <v/>
      </c>
      <c r="E167" s="15" t="str">
        <f>IF(OR(B167="",C167=""),"",IF(EXACT(LOWER(TRIM(C167)),LOWER(TRIM('영어 단어장'!B167))),"⭕","❌"))</f>
        <v/>
      </c>
      <c r="F167" s="12"/>
    </row>
    <row r="168" spans="1:6" ht="21" x14ac:dyDescent="0.4">
      <c r="A168" s="10">
        <f t="shared" si="2"/>
        <v>167</v>
      </c>
      <c r="B168" s="10" t="str">
        <f>IF('영어 단어장'!C168="","",'영어 단어장'!C168)</f>
        <v>구성하다</v>
      </c>
      <c r="C168" s="11"/>
      <c r="D168" s="21" t="str">
        <f>IF(OR(C168="",'영어 단어장'!B168=""),"",IF(EXACT(LOWER(TRIM(C168)),LOWER(TRIM('영어 단어장'!B168))),"",'영어 단어장'!B168))</f>
        <v/>
      </c>
      <c r="E168" s="15" t="str">
        <f>IF(OR(B168="",C168=""),"",IF(EXACT(LOWER(TRIM(C168)),LOWER(TRIM('영어 단어장'!B168))),"⭕","❌"))</f>
        <v/>
      </c>
      <c r="F168" s="12"/>
    </row>
    <row r="169" spans="1:6" ht="21" x14ac:dyDescent="0.4">
      <c r="A169" s="10">
        <f t="shared" si="2"/>
        <v>168</v>
      </c>
      <c r="B169" s="10" t="str">
        <f>IF('영어 단어장'!C169="","",'영어 단어장'!C169)</f>
        <v>적응하다, 수정하다</v>
      </c>
      <c r="C169" s="11"/>
      <c r="D169" s="21" t="str">
        <f>IF(OR(C169="",'영어 단어장'!B169=""),"",IF(EXACT(LOWER(TRIM(C169)),LOWER(TRIM('영어 단어장'!B169))),"",'영어 단어장'!B169))</f>
        <v/>
      </c>
      <c r="E169" s="15" t="str">
        <f>IF(OR(B169="",C169=""),"",IF(EXACT(LOWER(TRIM(C169)),LOWER(TRIM('영어 단어장'!B169))),"⭕","❌"))</f>
        <v/>
      </c>
      <c r="F169" s="12"/>
    </row>
    <row r="170" spans="1:6" ht="21" x14ac:dyDescent="0.4">
      <c r="A170" s="10">
        <f t="shared" si="2"/>
        <v>169</v>
      </c>
      <c r="B170" s="10" t="str">
        <f>IF('영어 단어장'!C170="","",'영어 단어장'!C170)</f>
        <v>수정하다, 변경하다</v>
      </c>
      <c r="C170" s="11"/>
      <c r="D170" s="21" t="str">
        <f>IF(OR(C170="",'영어 단어장'!B170=""),"",IF(EXACT(LOWER(TRIM(C170)),LOWER(TRIM('영어 단어장'!B170))),"",'영어 단어장'!B170))</f>
        <v/>
      </c>
      <c r="E170" s="15" t="str">
        <f>IF(OR(B170="",C170=""),"",IF(EXACT(LOWER(TRIM(C170)),LOWER(TRIM('영어 단어장'!B170))),"⭕","❌"))</f>
        <v/>
      </c>
      <c r="F170" s="12"/>
    </row>
    <row r="171" spans="1:6" ht="21" x14ac:dyDescent="0.4">
      <c r="A171" s="10">
        <f t="shared" si="2"/>
        <v>170</v>
      </c>
      <c r="B171" s="10" t="str">
        <f>IF('영어 단어장'!C171="","",'영어 단어장'!C171)</f>
        <v>전송하다</v>
      </c>
      <c r="C171" s="11"/>
      <c r="D171" s="21" t="str">
        <f>IF(OR(C171="",'영어 단어장'!B171=""),"",IF(EXACT(LOWER(TRIM(C171)),LOWER(TRIM('영어 단어장'!B171))),"",'영어 단어장'!B171))</f>
        <v/>
      </c>
      <c r="E171" s="15" t="str">
        <f>IF(OR(B171="",C171=""),"",IF(EXACT(LOWER(TRIM(C171)),LOWER(TRIM('영어 단어장'!B171))),"⭕","❌"))</f>
        <v/>
      </c>
      <c r="F171" s="12"/>
    </row>
    <row r="172" spans="1:6" ht="21" x14ac:dyDescent="0.4">
      <c r="A172" s="10">
        <f t="shared" si="2"/>
        <v>171</v>
      </c>
      <c r="B172" s="10" t="str">
        <f>IF('영어 단어장'!C172="","",'영어 단어장'!C172)</f>
        <v>도약</v>
      </c>
      <c r="C172" s="11"/>
      <c r="D172" s="21" t="str">
        <f>IF(OR(C172="",'영어 단어장'!B172=""),"",IF(EXACT(LOWER(TRIM(C172)),LOWER(TRIM('영어 단어장'!B172))),"",'영어 단어장'!B172))</f>
        <v/>
      </c>
      <c r="E172" s="15" t="str">
        <f>IF(OR(B172="",C172=""),"",IF(EXACT(LOWER(TRIM(C172)),LOWER(TRIM('영어 단어장'!B172))),"⭕","❌"))</f>
        <v/>
      </c>
      <c r="F172" s="12"/>
    </row>
    <row r="173" spans="1:6" ht="21" x14ac:dyDescent="0.4">
      <c r="A173" s="10">
        <f t="shared" si="2"/>
        <v>172</v>
      </c>
      <c r="B173" s="10" t="str">
        <f>IF('영어 단어장'!C173="","",'영어 단어장'!C173)</f>
        <v>부딪히다</v>
      </c>
      <c r="C173" s="11"/>
      <c r="D173" s="21" t="str">
        <f>IF(OR(C173="",'영어 단어장'!B173=""),"",IF(EXACT(LOWER(TRIM(C173)),LOWER(TRIM('영어 단어장'!B173))),"",'영어 단어장'!B173))</f>
        <v/>
      </c>
      <c r="E173" s="15" t="str">
        <f>IF(OR(B173="",C173=""),"",IF(EXACT(LOWER(TRIM(C173)),LOWER(TRIM('영어 단어장'!B173))),"⭕","❌"))</f>
        <v/>
      </c>
      <c r="F173" s="12"/>
    </row>
    <row r="174" spans="1:6" ht="21" x14ac:dyDescent="0.4">
      <c r="A174" s="10">
        <f t="shared" si="2"/>
        <v>173</v>
      </c>
      <c r="B174" s="10" t="str">
        <f>IF('영어 단어장'!C174="","",'영어 단어장'!C174)</f>
        <v>주입하다</v>
      </c>
      <c r="C174" s="11"/>
      <c r="D174" s="21" t="str">
        <f>IF(OR(C174="",'영어 단어장'!B174=""),"",IF(EXACT(LOWER(TRIM(C174)),LOWER(TRIM('영어 단어장'!B174))),"",'영어 단어장'!B174))</f>
        <v/>
      </c>
      <c r="E174" s="15" t="str">
        <f>IF(OR(B174="",C174=""),"",IF(EXACT(LOWER(TRIM(C174)),LOWER(TRIM('영어 단어장'!B174))),"⭕","❌"))</f>
        <v/>
      </c>
      <c r="F174" s="12"/>
    </row>
    <row r="175" spans="1:6" ht="21" x14ac:dyDescent="0.4">
      <c r="A175" s="10">
        <f t="shared" si="2"/>
        <v>174</v>
      </c>
      <c r="B175" s="10" t="str">
        <f>IF('영어 단어장'!C175="","",'영어 단어장'!C175)</f>
        <v>위태롭게 하다</v>
      </c>
      <c r="C175" s="11"/>
      <c r="D175" s="21" t="str">
        <f>IF(OR(C175="",'영어 단어장'!B175=""),"",IF(EXACT(LOWER(TRIM(C175)),LOWER(TRIM('영어 단어장'!B175))),"",'영어 단어장'!B175))</f>
        <v/>
      </c>
      <c r="E175" s="15" t="str">
        <f>IF(OR(B175="",C175=""),"",IF(EXACT(LOWER(TRIM(C175)),LOWER(TRIM('영어 단어장'!B175))),"⭕","❌"))</f>
        <v/>
      </c>
      <c r="F175" s="12"/>
    </row>
    <row r="176" spans="1:6" ht="21" x14ac:dyDescent="0.4">
      <c r="A176" s="10">
        <f t="shared" si="2"/>
        <v>175</v>
      </c>
      <c r="B176" s="10" t="str">
        <f>IF('영어 단어장'!C176="","",'영어 단어장'!C176)</f>
        <v>전복시키다, 타도하다</v>
      </c>
      <c r="C176" s="11"/>
      <c r="D176" s="21" t="str">
        <f>IF(OR(C176="",'영어 단어장'!B176=""),"",IF(EXACT(LOWER(TRIM(C176)),LOWER(TRIM('영어 단어장'!B176))),"",'영어 단어장'!B176))</f>
        <v/>
      </c>
      <c r="E176" s="15" t="str">
        <f>IF(OR(B176="",C176=""),"",IF(EXACT(LOWER(TRIM(C176)),LOWER(TRIM('영어 단어장'!B176))),"⭕","❌"))</f>
        <v/>
      </c>
      <c r="F176" s="12"/>
    </row>
    <row r="177" spans="1:6" ht="21" x14ac:dyDescent="0.4">
      <c r="A177" s="10">
        <f t="shared" si="2"/>
        <v>176</v>
      </c>
      <c r="B177" s="10" t="str">
        <f>IF('영어 단어장'!C177="","",'영어 단어장'!C177)</f>
        <v>시위</v>
      </c>
      <c r="C177" s="11"/>
      <c r="D177" s="21" t="str">
        <f>IF(OR(C177="",'영어 단어장'!B177=""),"",IF(EXACT(LOWER(TRIM(C177)),LOWER(TRIM('영어 단어장'!B177))),"",'영어 단어장'!B177))</f>
        <v/>
      </c>
      <c r="E177" s="15" t="str">
        <f>IF(OR(B177="",C177=""),"",IF(EXACT(LOWER(TRIM(C177)),LOWER(TRIM('영어 단어장'!B177))),"⭕","❌"))</f>
        <v/>
      </c>
      <c r="F177" s="12"/>
    </row>
    <row r="178" spans="1:6" ht="21" x14ac:dyDescent="0.4">
      <c r="A178" s="10">
        <f t="shared" si="2"/>
        <v>177</v>
      </c>
      <c r="B178" s="10" t="str">
        <f>IF('영어 단어장'!C178="","",'영어 단어장'!C178)</f>
        <v>부패한</v>
      </c>
      <c r="C178" s="11"/>
      <c r="D178" s="21" t="str">
        <f>IF(OR(C178="",'영어 단어장'!B178=""),"",IF(EXACT(LOWER(TRIM(C178)),LOWER(TRIM('영어 단어장'!B178))),"",'영어 단어장'!B178))</f>
        <v/>
      </c>
      <c r="E178" s="15" t="str">
        <f>IF(OR(B178="",C178=""),"",IF(EXACT(LOWER(TRIM(C178)),LOWER(TRIM('영어 단어장'!B178))),"⭕","❌"))</f>
        <v/>
      </c>
      <c r="F178" s="12"/>
    </row>
    <row r="179" spans="1:6" ht="21" x14ac:dyDescent="0.4">
      <c r="A179" s="10">
        <f t="shared" si="2"/>
        <v>178</v>
      </c>
      <c r="B179" s="10" t="str">
        <f>IF('영어 단어장'!C179="","",'영어 단어장'!C179)</f>
        <v>독재정권</v>
      </c>
      <c r="C179" s="11"/>
      <c r="D179" s="21" t="str">
        <f>IF(OR(C179="",'영어 단어장'!B179=""),"",IF(EXACT(LOWER(TRIM(C179)),LOWER(TRIM('영어 단어장'!B179))),"",'영어 단어장'!B179))</f>
        <v/>
      </c>
      <c r="E179" s="15" t="str">
        <f>IF(OR(B179="",C179=""),"",IF(EXACT(LOWER(TRIM(C179)),LOWER(TRIM('영어 단어장'!B179))),"⭕","❌"))</f>
        <v/>
      </c>
      <c r="F179" s="12"/>
    </row>
    <row r="180" spans="1:6" ht="21" x14ac:dyDescent="0.4">
      <c r="A180" s="10">
        <f t="shared" si="2"/>
        <v>179</v>
      </c>
      <c r="B180" s="10" t="str">
        <f>IF('영어 단어장'!C180="","",'영어 단어장'!C180)</f>
        <v>부피가 큰</v>
      </c>
      <c r="C180" s="11"/>
      <c r="D180" s="21" t="str">
        <f>IF(OR(C180="",'영어 단어장'!B180=""),"",IF(EXACT(LOWER(TRIM(C180)),LOWER(TRIM('영어 단어장'!B180))),"",'영어 단어장'!B180))</f>
        <v/>
      </c>
      <c r="E180" s="15" t="str">
        <f>IF(OR(B180="",C180=""),"",IF(EXACT(LOWER(TRIM(C180)),LOWER(TRIM('영어 단어장'!B180))),"⭕","❌"))</f>
        <v/>
      </c>
      <c r="F180" s="12"/>
    </row>
    <row r="181" spans="1:6" ht="21" x14ac:dyDescent="0.4">
      <c r="A181" s="10">
        <f t="shared" si="2"/>
        <v>180</v>
      </c>
      <c r="B181" s="10" t="str">
        <f>IF('영어 단어장'!C181="","",'영어 단어장'!C181)</f>
        <v>민첩한</v>
      </c>
      <c r="C181" s="11"/>
      <c r="D181" s="21" t="str">
        <f>IF(OR(C181="",'영어 단어장'!B181=""),"",IF(EXACT(LOWER(TRIM(C181)),LOWER(TRIM('영어 단어장'!B181))),"",'영어 단어장'!B181))</f>
        <v/>
      </c>
      <c r="E181" s="15" t="str">
        <f>IF(OR(B181="",C181=""),"",IF(EXACT(LOWER(TRIM(C181)),LOWER(TRIM('영어 단어장'!B181))),"⭕","❌"))</f>
        <v/>
      </c>
      <c r="F181" s="12"/>
    </row>
    <row r="182" spans="1:6" ht="21" x14ac:dyDescent="0.4">
      <c r="A182" s="10">
        <f t="shared" si="2"/>
        <v>181</v>
      </c>
      <c r="B182" s="10" t="str">
        <f>IF('영어 단어장'!C182="","",'영어 단어장'!C182)</f>
        <v>완력, 근력</v>
      </c>
      <c r="C182" s="11"/>
      <c r="D182" s="21" t="str">
        <f>IF(OR(C182="",'영어 단어장'!B182=""),"",IF(EXACT(LOWER(TRIM(C182)),LOWER(TRIM('영어 단어장'!B182))),"",'영어 단어장'!B182))</f>
        <v/>
      </c>
      <c r="E182" s="15" t="str">
        <f>IF(OR(B182="",C182=""),"",IF(EXACT(LOWER(TRIM(C182)),LOWER(TRIM('영어 단어장'!B182))),"⭕","❌"))</f>
        <v/>
      </c>
      <c r="F182" s="12"/>
    </row>
    <row r="183" spans="1:6" ht="21" x14ac:dyDescent="0.4">
      <c r="A183" s="10">
        <f t="shared" si="2"/>
        <v>182</v>
      </c>
      <c r="B183" s="10" t="str">
        <f>IF('영어 단어장'!C183="","",'영어 단어장'!C183)</f>
        <v>방해하다</v>
      </c>
      <c r="C183" s="11"/>
      <c r="D183" s="21" t="str">
        <f>IF(OR(C183="",'영어 단어장'!B183=""),"",IF(EXACT(LOWER(TRIM(C183)),LOWER(TRIM('영어 단어장'!B183))),"",'영어 단어장'!B183))</f>
        <v/>
      </c>
      <c r="E183" s="15" t="str">
        <f>IF(OR(B183="",C183=""),"",IF(EXACT(LOWER(TRIM(C183)),LOWER(TRIM('영어 단어장'!B183))),"⭕","❌"))</f>
        <v/>
      </c>
      <c r="F183" s="12"/>
    </row>
    <row r="184" spans="1:6" ht="21" x14ac:dyDescent="0.4">
      <c r="A184" s="10">
        <f t="shared" si="2"/>
        <v>183</v>
      </c>
      <c r="B184" s="10" t="str">
        <f>IF('영어 단어장'!C184="","",'영어 단어장'!C184)</f>
        <v>방해받지 않은</v>
      </c>
      <c r="C184" s="11"/>
      <c r="D184" s="21" t="str">
        <f>IF(OR(C184="",'영어 단어장'!B184=""),"",IF(EXACT(LOWER(TRIM(C184)),LOWER(TRIM('영어 단어장'!B184))),"",'영어 단어장'!B184))</f>
        <v/>
      </c>
      <c r="E184" s="15" t="str">
        <f>IF(OR(B184="",C184=""),"",IF(EXACT(LOWER(TRIM(C184)),LOWER(TRIM('영어 단어장'!B184))),"⭕","❌"))</f>
        <v/>
      </c>
      <c r="F184" s="12"/>
    </row>
    <row r="185" spans="1:6" ht="21" x14ac:dyDescent="0.4">
      <c r="A185" s="10">
        <f t="shared" si="2"/>
        <v>184</v>
      </c>
      <c r="B185" s="10" t="str">
        <f>IF('영어 단어장'!C185="","",'영어 단어장'!C185)</f>
        <v>악화시키다, 분노한</v>
      </c>
      <c r="C185" s="11"/>
      <c r="D185" s="21" t="str">
        <f>IF(OR(C185="",'영어 단어장'!B185=""),"",IF(EXACT(LOWER(TRIM(C185)),LOWER(TRIM('영어 단어장'!B185))),"",'영어 단어장'!B185))</f>
        <v/>
      </c>
      <c r="E185" s="15" t="str">
        <f>IF(OR(B185="",C185=""),"",IF(EXACT(LOWER(TRIM(C185)),LOWER(TRIM('영어 단어장'!B185))),"⭕","❌"))</f>
        <v/>
      </c>
      <c r="F185" s="12"/>
    </row>
    <row r="186" spans="1:6" ht="21" x14ac:dyDescent="0.4">
      <c r="A186" s="10">
        <f t="shared" si="2"/>
        <v>185</v>
      </c>
      <c r="B186" s="10" t="str">
        <f>IF('영어 단어장'!C186="","",'영어 단어장'!C186)</f>
        <v>대항, 적대하다</v>
      </c>
      <c r="C186" s="11"/>
      <c r="D186" s="21" t="str">
        <f>IF(OR(C186="",'영어 단어장'!B186=""),"",IF(EXACT(LOWER(TRIM(C186)),LOWER(TRIM('영어 단어장'!B186))),"",'영어 단어장'!B186))</f>
        <v/>
      </c>
      <c r="E186" s="15" t="str">
        <f>IF(OR(B186="",C186=""),"",IF(EXACT(LOWER(TRIM(C186)),LOWER(TRIM('영어 단어장'!B186))),"⭕","❌"))</f>
        <v/>
      </c>
      <c r="F186" s="12"/>
    </row>
    <row r="187" spans="1:6" ht="21" x14ac:dyDescent="0.4">
      <c r="A187" s="10">
        <f t="shared" si="2"/>
        <v>186</v>
      </c>
      <c r="B187" s="10" t="str">
        <f>IF('영어 단어장'!C187="","",'영어 단어장'!C187)</f>
        <v>조약, 협정</v>
      </c>
      <c r="C187" s="11"/>
      <c r="D187" s="21" t="str">
        <f>IF(OR(C187="",'영어 단어장'!B187=""),"",IF(EXACT(LOWER(TRIM(C187)),LOWER(TRIM('영어 단어장'!B187))),"",'영어 단어장'!B187))</f>
        <v/>
      </c>
      <c r="E187" s="15" t="str">
        <f>IF(OR(B187="",C187=""),"",IF(EXACT(LOWER(TRIM(C187)),LOWER(TRIM('영어 단어장'!B187))),"⭕","❌"))</f>
        <v/>
      </c>
      <c r="F187" s="12"/>
    </row>
    <row r="188" spans="1:6" ht="21" x14ac:dyDescent="0.4">
      <c r="A188" s="10">
        <f t="shared" si="2"/>
        <v>187</v>
      </c>
      <c r="B188" s="10" t="str">
        <f>IF('영어 단어장'!C188="","",'영어 단어장'!C188)</f>
        <v>헌장, 승인하다</v>
      </c>
      <c r="C188" s="11"/>
      <c r="D188" s="21" t="str">
        <f>IF(OR(C188="",'영어 단어장'!B188=""),"",IF(EXACT(LOWER(TRIM(C188)),LOWER(TRIM('영어 단어장'!B188))),"",'영어 단어장'!B188))</f>
        <v/>
      </c>
      <c r="E188" s="15" t="str">
        <f>IF(OR(B188="",C188=""),"",IF(EXACT(LOWER(TRIM(C188)),LOWER(TRIM('영어 단어장'!B188))),"⭕","❌"))</f>
        <v/>
      </c>
      <c r="F188" s="12"/>
    </row>
    <row r="189" spans="1:6" ht="21" x14ac:dyDescent="0.4">
      <c r="A189" s="10">
        <f t="shared" si="2"/>
        <v>188</v>
      </c>
      <c r="B189" s="10" t="str">
        <f>IF('영어 단어장'!C189="","",'영어 단어장'!C189)</f>
        <v>혐의</v>
      </c>
      <c r="C189" s="11"/>
      <c r="D189" s="21" t="str">
        <f>IF(OR(C189="",'영어 단어장'!B189=""),"",IF(EXACT(LOWER(TRIM(C189)),LOWER(TRIM('영어 단어장'!B189))),"",'영어 단어장'!B189))</f>
        <v/>
      </c>
      <c r="E189" s="15" t="str">
        <f>IF(OR(B189="",C189=""),"",IF(EXACT(LOWER(TRIM(C189)),LOWER(TRIM('영어 단어장'!B189))),"⭕","❌"))</f>
        <v/>
      </c>
      <c r="F189" s="12"/>
    </row>
    <row r="190" spans="1:6" ht="21" x14ac:dyDescent="0.4">
      <c r="A190" s="10">
        <f t="shared" si="2"/>
        <v>189</v>
      </c>
      <c r="B190" s="10" t="str">
        <f>IF('영어 단어장'!C190="","",'영어 단어장'!C190)</f>
        <v>밀반입하다</v>
      </c>
      <c r="C190" s="11"/>
      <c r="D190" s="21" t="str">
        <f>IF(OR(C190="",'영어 단어장'!B190=""),"",IF(EXACT(LOWER(TRIM(C190)),LOWER(TRIM('영어 단어장'!B190))),"",'영어 단어장'!B190))</f>
        <v/>
      </c>
      <c r="E190" s="15" t="str">
        <f>IF(OR(B190="",C190=""),"",IF(EXACT(LOWER(TRIM(C190)),LOWER(TRIM('영어 단어장'!B190))),"⭕","❌"))</f>
        <v/>
      </c>
      <c r="F190" s="12"/>
    </row>
    <row r="191" spans="1:6" ht="21" x14ac:dyDescent="0.4">
      <c r="A191" s="10">
        <f t="shared" si="2"/>
        <v>190</v>
      </c>
      <c r="B191" s="10" t="str">
        <f>IF('영어 단어장'!C191="","",'영어 단어장'!C191)</f>
        <v>구속하다</v>
      </c>
      <c r="C191" s="11"/>
      <c r="D191" s="21" t="str">
        <f>IF(OR(C191="",'영어 단어장'!B191=""),"",IF(EXACT(LOWER(TRIM(C191)),LOWER(TRIM('영어 단어장'!B191))),"",'영어 단어장'!B191))</f>
        <v/>
      </c>
      <c r="E191" s="15" t="str">
        <f>IF(OR(B191="",C191=""),"",IF(EXACT(LOWER(TRIM(C191)),LOWER(TRIM('영어 단어장'!B191))),"⭕","❌"))</f>
        <v/>
      </c>
      <c r="F191" s="12"/>
    </row>
    <row r="192" spans="1:6" ht="21" x14ac:dyDescent="0.4">
      <c r="A192" s="10">
        <f t="shared" si="2"/>
        <v>191</v>
      </c>
      <c r="B192" s="10" t="str">
        <f>IF('영어 단어장'!C192="","",'영어 단어장'!C192)</f>
        <v>손상시키다</v>
      </c>
      <c r="C192" s="11"/>
      <c r="D192" s="21" t="str">
        <f>IF(OR(C192="",'영어 단어장'!B192=""),"",IF(EXACT(LOWER(TRIM(C192)),LOWER(TRIM('영어 단어장'!B192))),"",'영어 단어장'!B192))</f>
        <v/>
      </c>
      <c r="E192" s="15" t="str">
        <f>IF(OR(B192="",C192=""),"",IF(EXACT(LOWER(TRIM(C192)),LOWER(TRIM('영어 단어장'!B192))),"⭕","❌"))</f>
        <v/>
      </c>
      <c r="F192" s="12"/>
    </row>
    <row r="193" spans="1:6" ht="21" x14ac:dyDescent="0.4">
      <c r="A193" s="10">
        <f t="shared" si="2"/>
        <v>192</v>
      </c>
      <c r="B193" s="10" t="str">
        <f>IF('영어 단어장'!C193="","",'영어 단어장'!C193)</f>
        <v>추출하다</v>
      </c>
      <c r="C193" s="11"/>
      <c r="D193" s="21" t="str">
        <f>IF(OR(C193="",'영어 단어장'!B193=""),"",IF(EXACT(LOWER(TRIM(C193)),LOWER(TRIM('영어 단어장'!B193))),"",'영어 단어장'!B193))</f>
        <v/>
      </c>
      <c r="E193" s="15" t="str">
        <f>IF(OR(B193="",C193=""),"",IF(EXACT(LOWER(TRIM(C193)),LOWER(TRIM('영어 단어장'!B193))),"⭕","❌"))</f>
        <v/>
      </c>
      <c r="F193" s="12"/>
    </row>
    <row r="194" spans="1:6" ht="21" x14ac:dyDescent="0.4">
      <c r="A194" s="10">
        <f t="shared" si="2"/>
        <v>193</v>
      </c>
      <c r="B194" s="10" t="str">
        <f>IF('영어 단어장'!C194="","",'영어 단어장'!C194)</f>
        <v>지장을 주다</v>
      </c>
      <c r="C194" s="11"/>
      <c r="D194" s="21" t="str">
        <f>IF(OR(C194="",'영어 단어장'!B194=""),"",IF(EXACT(LOWER(TRIM(C194)),LOWER(TRIM('영어 단어장'!B194))),"",'영어 단어장'!B194))</f>
        <v/>
      </c>
      <c r="E194" s="15" t="str">
        <f>IF(OR(B194="",C194=""),"",IF(EXACT(LOWER(TRIM(C194)),LOWER(TRIM('영어 단어장'!B194))),"⭕","❌"))</f>
        <v/>
      </c>
      <c r="F194" s="12"/>
    </row>
    <row r="195" spans="1:6" ht="21" x14ac:dyDescent="0.4">
      <c r="A195" s="10">
        <f t="shared" ref="A195:A258" si="3">ROW()-1</f>
        <v>194</v>
      </c>
      <c r="B195" s="10" t="str">
        <f>IF('영어 단어장'!C195="","",'영어 단어장'!C195)</f>
        <v>누설하다, 폭로하다</v>
      </c>
      <c r="C195" s="11"/>
      <c r="D195" s="21" t="str">
        <f>IF(OR(C195="",'영어 단어장'!B195=""),"",IF(EXACT(LOWER(TRIM(C195)),LOWER(TRIM('영어 단어장'!B195))),"",'영어 단어장'!B195))</f>
        <v/>
      </c>
      <c r="E195" s="15" t="str">
        <f>IF(OR(B195="",C195=""),"",IF(EXACT(LOWER(TRIM(C195)),LOWER(TRIM('영어 단어장'!B195))),"⭕","❌"))</f>
        <v/>
      </c>
      <c r="F195" s="12"/>
    </row>
    <row r="196" spans="1:6" ht="21" x14ac:dyDescent="0.4">
      <c r="A196" s="10">
        <f t="shared" si="3"/>
        <v>195</v>
      </c>
      <c r="B196" s="10" t="str">
        <f>IF('영어 단어장'!C196="","",'영어 단어장'!C196)</f>
        <v>억제하다</v>
      </c>
      <c r="C196" s="11"/>
      <c r="D196" s="21" t="str">
        <f>IF(OR(C196="",'영어 단어장'!B196=""),"",IF(EXACT(LOWER(TRIM(C196)),LOWER(TRIM('영어 단어장'!B196))),"",'영어 단어장'!B196))</f>
        <v/>
      </c>
      <c r="E196" s="15" t="str">
        <f>IF(OR(B196="",C196=""),"",IF(EXACT(LOWER(TRIM(C196)),LOWER(TRIM('영어 단어장'!B196))),"⭕","❌"))</f>
        <v/>
      </c>
      <c r="F196" s="12"/>
    </row>
    <row r="197" spans="1:6" ht="21" x14ac:dyDescent="0.4">
      <c r="A197" s="10">
        <f t="shared" si="3"/>
        <v>196</v>
      </c>
      <c r="B197" s="10" t="str">
        <f>IF('영어 단어장'!C197="","",'영어 단어장'!C197)</f>
        <v>두려움, 경외심</v>
      </c>
      <c r="C197" s="11"/>
      <c r="D197" s="21" t="str">
        <f>IF(OR(C197="",'영어 단어장'!B197=""),"",IF(EXACT(LOWER(TRIM(C197)),LOWER(TRIM('영어 단어장'!B197))),"",'영어 단어장'!B197))</f>
        <v/>
      </c>
      <c r="E197" s="15" t="str">
        <f>IF(OR(B197="",C197=""),"",IF(EXACT(LOWER(TRIM(C197)),LOWER(TRIM('영어 단어장'!B197))),"⭕","❌"))</f>
        <v/>
      </c>
      <c r="F197" s="12"/>
    </row>
    <row r="198" spans="1:6" ht="21" x14ac:dyDescent="0.4">
      <c r="A198" s="10">
        <f t="shared" si="3"/>
        <v>197</v>
      </c>
      <c r="B198" s="10" t="str">
        <f>IF('영어 단어장'!C198="","",'영어 단어장'!C198)</f>
        <v>찌르다</v>
      </c>
      <c r="C198" s="11"/>
      <c r="D198" s="21" t="str">
        <f>IF(OR(C198="",'영어 단어장'!B198=""),"",IF(EXACT(LOWER(TRIM(C198)),LOWER(TRIM('영어 단어장'!B198))),"",'영어 단어장'!B198))</f>
        <v/>
      </c>
      <c r="E198" s="15" t="str">
        <f>IF(OR(B198="",C198=""),"",IF(EXACT(LOWER(TRIM(C198)),LOWER(TRIM('영어 단어장'!B198))),"⭕","❌"))</f>
        <v/>
      </c>
      <c r="F198" s="12"/>
    </row>
    <row r="199" spans="1:6" ht="21" x14ac:dyDescent="0.4">
      <c r="A199" s="10">
        <f t="shared" si="3"/>
        <v>198</v>
      </c>
      <c r="B199" s="10" t="str">
        <f>IF('영어 단어장'!C199="","",'영어 단어장'!C199)</f>
        <v>맹세하다</v>
      </c>
      <c r="C199" s="11"/>
      <c r="D199" s="21" t="str">
        <f>IF(OR(C199="",'영어 단어장'!B199=""),"",IF(EXACT(LOWER(TRIM(C199)),LOWER(TRIM('영어 단어장'!B199))),"",'영어 단어장'!B199))</f>
        <v/>
      </c>
      <c r="E199" s="15" t="str">
        <f>IF(OR(B199="",C199=""),"",IF(EXACT(LOWER(TRIM(C199)),LOWER(TRIM('영어 단어장'!B199))),"⭕","❌"))</f>
        <v/>
      </c>
      <c r="F199" s="12"/>
    </row>
    <row r="200" spans="1:6" ht="21" x14ac:dyDescent="0.4">
      <c r="A200" s="10">
        <f t="shared" si="3"/>
        <v>199</v>
      </c>
      <c r="B200" s="10" t="str">
        <f>IF('영어 단어장'!C200="","",'영어 단어장'!C200)</f>
        <v>구경꾼</v>
      </c>
      <c r="C200" s="11"/>
      <c r="D200" s="21" t="str">
        <f>IF(OR(C200="",'영어 단어장'!B200=""),"",IF(EXACT(LOWER(TRIM(C200)),LOWER(TRIM('영어 단어장'!B200))),"",'영어 단어장'!B200))</f>
        <v/>
      </c>
      <c r="E200" s="15" t="str">
        <f>IF(OR(B200="",C200=""),"",IF(EXACT(LOWER(TRIM(C200)),LOWER(TRIM('영어 단어장'!B200))),"⭕","❌"))</f>
        <v/>
      </c>
      <c r="F200" s="12"/>
    </row>
    <row r="201" spans="1:6" ht="21" x14ac:dyDescent="0.4">
      <c r="A201" s="10">
        <f t="shared" si="3"/>
        <v>200</v>
      </c>
      <c r="B201" s="10" t="str">
        <f>IF('영어 단어장'!C201="","",'영어 단어장'!C201)</f>
        <v>항생제</v>
      </c>
      <c r="C201" s="11"/>
      <c r="D201" s="21" t="str">
        <f>IF(OR(C201="",'영어 단어장'!B201=""),"",IF(EXACT(LOWER(TRIM(C201)),LOWER(TRIM('영어 단어장'!B201))),"",'영어 단어장'!B201))</f>
        <v/>
      </c>
      <c r="E201" s="15" t="str">
        <f>IF(OR(B201="",C201=""),"",IF(EXACT(LOWER(TRIM(C201)),LOWER(TRIM('영어 단어장'!B201))),"⭕","❌"))</f>
        <v/>
      </c>
      <c r="F201" s="12"/>
    </row>
    <row r="202" spans="1:6" ht="21" x14ac:dyDescent="0.4">
      <c r="A202" s="10">
        <f t="shared" si="3"/>
        <v>201</v>
      </c>
      <c r="B202" s="10" t="str">
        <f>IF('영어 단어장'!C202="","",'영어 단어장'!C202)</f>
        <v>무효화하다</v>
      </c>
      <c r="C202" s="11"/>
      <c r="D202" s="21" t="str">
        <f>IF(OR(C202="",'영어 단어장'!B202=""),"",IF(EXACT(LOWER(TRIM(C202)),LOWER(TRIM('영어 단어장'!B202))),"",'영어 단어장'!B202))</f>
        <v/>
      </c>
      <c r="E202" s="15" t="str">
        <f>IF(OR(B202="",C202=""),"",IF(EXACT(LOWER(TRIM(C202)),LOWER(TRIM('영어 단어장'!B202))),"⭕","❌"))</f>
        <v/>
      </c>
      <c r="F202" s="12"/>
    </row>
    <row r="203" spans="1:6" ht="21" x14ac:dyDescent="0.4">
      <c r="A203" s="10">
        <f t="shared" si="3"/>
        <v>202</v>
      </c>
      <c r="B203" s="10" t="str">
        <f>IF('영어 단어장'!C203="","",'영어 단어장'!C203)</f>
        <v>패배하다</v>
      </c>
      <c r="C203" s="11"/>
      <c r="D203" s="21" t="str">
        <f>IF(OR(C203="",'영어 단어장'!B203=""),"",IF(EXACT(LOWER(TRIM(C203)),LOWER(TRIM('영어 단어장'!B203))),"",'영어 단어장'!B203))</f>
        <v/>
      </c>
      <c r="E203" s="15" t="str">
        <f>IF(OR(B203="",C203=""),"",IF(EXACT(LOWER(TRIM(C203)),LOWER(TRIM('영어 단어장'!B203))),"⭕","❌"))</f>
        <v/>
      </c>
      <c r="F203" s="12"/>
    </row>
    <row r="204" spans="1:6" ht="21" x14ac:dyDescent="0.4">
      <c r="A204" s="10">
        <f t="shared" si="3"/>
        <v>203</v>
      </c>
      <c r="B204" s="10" t="str">
        <f>IF('영어 단어장'!C204="","",'영어 단어장'!C204)</f>
        <v>낭비하다</v>
      </c>
      <c r="C204" s="11"/>
      <c r="D204" s="21" t="str">
        <f>IF(OR(C204="",'영어 단어장'!B204=""),"",IF(EXACT(LOWER(TRIM(C204)),LOWER(TRIM('영어 단어장'!B204))),"",'영어 단어장'!B204))</f>
        <v/>
      </c>
      <c r="E204" s="15" t="str">
        <f>IF(OR(B204="",C204=""),"",IF(EXACT(LOWER(TRIM(C204)),LOWER(TRIM('영어 단어장'!B204))),"⭕","❌"))</f>
        <v/>
      </c>
      <c r="F204" s="12"/>
    </row>
    <row r="205" spans="1:6" ht="21" x14ac:dyDescent="0.4">
      <c r="A205" s="10">
        <f t="shared" si="3"/>
        <v>204</v>
      </c>
      <c r="B205" s="10" t="str">
        <f>IF('영어 단어장'!C205="","",'영어 단어장'!C205)</f>
        <v>자식의</v>
      </c>
      <c r="C205" s="11"/>
      <c r="D205" s="21" t="str">
        <f>IF(OR(C205="",'영어 단어장'!B205=""),"",IF(EXACT(LOWER(TRIM(C205)),LOWER(TRIM('영어 단어장'!B205))),"",'영어 단어장'!B205))</f>
        <v/>
      </c>
      <c r="E205" s="15" t="str">
        <f>IF(OR(B205="",C205=""),"",IF(EXACT(LOWER(TRIM(C205)),LOWER(TRIM('영어 단어장'!B205))),"⭕","❌"))</f>
        <v/>
      </c>
      <c r="F205" s="12"/>
    </row>
    <row r="206" spans="1:6" ht="21" x14ac:dyDescent="0.4">
      <c r="A206" s="10">
        <f t="shared" si="3"/>
        <v>205</v>
      </c>
      <c r="B206" s="10" t="str">
        <f>IF('영어 단어장'!C206="","",'영어 단어장'!C206)</f>
        <v>독실한</v>
      </c>
      <c r="C206" s="11"/>
      <c r="D206" s="21" t="str">
        <f>IF(OR(C206="",'영어 단어장'!B206=""),"",IF(EXACT(LOWER(TRIM(C206)),LOWER(TRIM('영어 단어장'!B206))),"",'영어 단어장'!B206))</f>
        <v/>
      </c>
      <c r="E206" s="15" t="str">
        <f>IF(OR(B206="",C206=""),"",IF(EXACT(LOWER(TRIM(C206)),LOWER(TRIM('영어 단어장'!B206))),"⭕","❌"))</f>
        <v/>
      </c>
      <c r="F206" s="12"/>
    </row>
    <row r="207" spans="1:6" ht="21" x14ac:dyDescent="0.4">
      <c r="A207" s="10">
        <f t="shared" si="3"/>
        <v>206</v>
      </c>
      <c r="B207" s="10" t="str">
        <f>IF('영어 단어장'!C207="","",'영어 단어장'!C207)</f>
        <v>온화한</v>
      </c>
      <c r="C207" s="11"/>
      <c r="D207" s="21" t="str">
        <f>IF(OR(C207="",'영어 단어장'!B207=""),"",IF(EXACT(LOWER(TRIM(C207)),LOWER(TRIM('영어 단어장'!B207))),"",'영어 단어장'!B207))</f>
        <v/>
      </c>
      <c r="E207" s="15" t="str">
        <f>IF(OR(B207="",C207=""),"",IF(EXACT(LOWER(TRIM(C207)),LOWER(TRIM('영어 단어장'!B207))),"⭕","❌"))</f>
        <v/>
      </c>
      <c r="F207" s="12"/>
    </row>
    <row r="208" spans="1:6" ht="21" x14ac:dyDescent="0.4">
      <c r="A208" s="10">
        <f t="shared" si="3"/>
        <v>207</v>
      </c>
      <c r="B208" s="10" t="str">
        <f>IF('영어 단어장'!C208="","",'영어 단어장'!C208)</f>
        <v>성직자의</v>
      </c>
      <c r="C208" s="11"/>
      <c r="D208" s="21" t="str">
        <f>IF(OR(C208="",'영어 단어장'!B208=""),"",IF(EXACT(LOWER(TRIM(C208)),LOWER(TRIM('영어 단어장'!B208))),"",'영어 단어장'!B208))</f>
        <v/>
      </c>
      <c r="E208" s="15" t="str">
        <f>IF(OR(B208="",C208=""),"",IF(EXACT(LOWER(TRIM(C208)),LOWER(TRIM('영어 단어장'!B208))),"⭕","❌"))</f>
        <v/>
      </c>
      <c r="F208" s="12"/>
    </row>
    <row r="209" spans="1:6" ht="21" x14ac:dyDescent="0.4">
      <c r="A209" s="10">
        <f t="shared" si="3"/>
        <v>208</v>
      </c>
      <c r="B209" s="10" t="str">
        <f>IF('영어 단어장'!C209="","",'영어 단어장'!C209)</f>
        <v>더럽히다</v>
      </c>
      <c r="C209" s="11"/>
      <c r="D209" s="21" t="str">
        <f>IF(OR(C209="",'영어 단어장'!B209=""),"",IF(EXACT(LOWER(TRIM(C209)),LOWER(TRIM('영어 단어장'!B209))),"",'영어 단어장'!B209))</f>
        <v/>
      </c>
      <c r="E209" s="15" t="str">
        <f>IF(OR(B209="",C209=""),"",IF(EXACT(LOWER(TRIM(C209)),LOWER(TRIM('영어 단어장'!B209))),"⭕","❌"))</f>
        <v/>
      </c>
      <c r="F209" s="12"/>
    </row>
    <row r="210" spans="1:6" ht="21" x14ac:dyDescent="0.4">
      <c r="A210" s="10">
        <f t="shared" si="3"/>
        <v>209</v>
      </c>
      <c r="B210" s="10" t="str">
        <f>IF('영어 단어장'!C210="","",'영어 단어장'!C210)</f>
        <v>뒤엎다</v>
      </c>
      <c r="C210" s="11"/>
      <c r="D210" s="21" t="str">
        <f>IF(OR(C210="",'영어 단어장'!B210=""),"",IF(EXACT(LOWER(TRIM(C210)),LOWER(TRIM('영어 단어장'!B210))),"",'영어 단어장'!B210))</f>
        <v/>
      </c>
      <c r="E210" s="15" t="str">
        <f>IF(OR(B210="",C210=""),"",IF(EXACT(LOWER(TRIM(C210)),LOWER(TRIM('영어 단어장'!B210))),"⭕","❌"))</f>
        <v/>
      </c>
      <c r="F210" s="12"/>
    </row>
    <row r="211" spans="1:6" ht="21" x14ac:dyDescent="0.4">
      <c r="A211" s="10">
        <f t="shared" si="3"/>
        <v>210</v>
      </c>
      <c r="B211" s="10" t="str">
        <f>IF('영어 단어장'!C211="","",'영어 단어장'!C211)</f>
        <v>침수시키다</v>
      </c>
      <c r="C211" s="11"/>
      <c r="D211" s="21" t="str">
        <f>IF(OR(C211="",'영어 단어장'!B211=""),"",IF(EXACT(LOWER(TRIM(C211)),LOWER(TRIM('영어 단어장'!B211))),"",'영어 단어장'!B211))</f>
        <v/>
      </c>
      <c r="E211" s="15" t="str">
        <f>IF(OR(B211="",C211=""),"",IF(EXACT(LOWER(TRIM(C211)),LOWER(TRIM('영어 단어장'!B211))),"⭕","❌"))</f>
        <v/>
      </c>
      <c r="F211" s="12"/>
    </row>
    <row r="212" spans="1:6" ht="21" x14ac:dyDescent="0.4">
      <c r="A212" s="10">
        <f t="shared" si="3"/>
        <v>211</v>
      </c>
      <c r="B212" s="10" t="str">
        <f>IF('영어 단어장'!C212="","",'영어 단어장'!C212)</f>
        <v>방출하다</v>
      </c>
      <c r="C212" s="11"/>
      <c r="D212" s="21" t="str">
        <f>IF(OR(C212="",'영어 단어장'!B212=""),"",IF(EXACT(LOWER(TRIM(C212)),LOWER(TRIM('영어 단어장'!B212))),"",'영어 단어장'!B212))</f>
        <v/>
      </c>
      <c r="E212" s="15" t="str">
        <f>IF(OR(B212="",C212=""),"",IF(EXACT(LOWER(TRIM(C212)),LOWER(TRIM('영어 단어장'!B212))),"⭕","❌"))</f>
        <v/>
      </c>
      <c r="F212" s="12"/>
    </row>
    <row r="213" spans="1:6" ht="21" x14ac:dyDescent="0.4">
      <c r="A213" s="10">
        <f t="shared" si="3"/>
        <v>212</v>
      </c>
      <c r="B213" s="10" t="str">
        <f>IF('영어 단어장'!C213="","",'영어 단어장'!C213)</f>
        <v>규정</v>
      </c>
      <c r="C213" s="11"/>
      <c r="D213" s="21" t="str">
        <f>IF(OR(C213="",'영어 단어장'!B213=""),"",IF(EXACT(LOWER(TRIM(C213)),LOWER(TRIM('영어 단어장'!B213))),"",'영어 단어장'!B213))</f>
        <v/>
      </c>
      <c r="E213" s="15" t="str">
        <f>IF(OR(B213="",C213=""),"",IF(EXACT(LOWER(TRIM(C213)),LOWER(TRIM('영어 단어장'!B213))),"⭕","❌"))</f>
        <v/>
      </c>
      <c r="F213" s="12"/>
    </row>
    <row r="214" spans="1:6" ht="21" x14ac:dyDescent="0.4">
      <c r="A214" s="10">
        <f t="shared" si="3"/>
        <v>213</v>
      </c>
      <c r="B214" s="10" t="str">
        <f>IF('영어 단어장'!C214="","",'영어 단어장'!C214)</f>
        <v>선례</v>
      </c>
      <c r="C214" s="11"/>
      <c r="D214" s="21" t="str">
        <f>IF(OR(C214="",'영어 단어장'!B214=""),"",IF(EXACT(LOWER(TRIM(C214)),LOWER(TRIM('영어 단어장'!B214))),"",'영어 단어장'!B214))</f>
        <v/>
      </c>
      <c r="E214" s="15" t="str">
        <f>IF(OR(B214="",C214=""),"",IF(EXACT(LOWER(TRIM(C214)),LOWER(TRIM('영어 단어장'!B214))),"⭕","❌"))</f>
        <v/>
      </c>
      <c r="F214" s="12"/>
    </row>
    <row r="215" spans="1:6" ht="21" x14ac:dyDescent="0.4">
      <c r="A215" s="10">
        <f t="shared" si="3"/>
        <v>214</v>
      </c>
      <c r="B215" s="10" t="str">
        <f>IF('영어 단어장'!C215="","",'영어 단어장'!C215)</f>
        <v>영향</v>
      </c>
      <c r="C215" s="11"/>
      <c r="D215" s="21" t="str">
        <f>IF(OR(C215="",'영어 단어장'!B215=""),"",IF(EXACT(LOWER(TRIM(C215)),LOWER(TRIM('영어 단어장'!B215))),"",'영어 단어장'!B215))</f>
        <v/>
      </c>
      <c r="E215" s="15" t="str">
        <f>IF(OR(B215="",C215=""),"",IF(EXACT(LOWER(TRIM(C215)),LOWER(TRIM('영어 단어장'!B215))),"⭕","❌"))</f>
        <v/>
      </c>
      <c r="F215" s="12"/>
    </row>
    <row r="216" spans="1:6" ht="21" x14ac:dyDescent="0.4">
      <c r="A216" s="10">
        <f t="shared" si="3"/>
        <v>215</v>
      </c>
      <c r="B216" s="10" t="str">
        <f>IF('영어 단어장'!C216="","",'영어 단어장'!C216)</f>
        <v>상황</v>
      </c>
      <c r="C216" s="11"/>
      <c r="D216" s="21" t="str">
        <f>IF(OR(C216="",'영어 단어장'!B216=""),"",IF(EXACT(LOWER(TRIM(C216)),LOWER(TRIM('영어 단어장'!B216))),"",'영어 단어장'!B216))</f>
        <v/>
      </c>
      <c r="E216" s="15" t="str">
        <f>IF(OR(B216="",C216=""),"",IF(EXACT(LOWER(TRIM(C216)),LOWER(TRIM('영어 단어장'!B216))),"⭕","❌"))</f>
        <v/>
      </c>
      <c r="F216" s="12"/>
    </row>
    <row r="217" spans="1:6" ht="21" x14ac:dyDescent="0.4">
      <c r="A217" s="10">
        <f t="shared" si="3"/>
        <v>216</v>
      </c>
      <c r="B217" s="10" t="str">
        <f>IF('영어 단어장'!C217="","",'영어 단어장'!C217)</f>
        <v>~을 모으다</v>
      </c>
      <c r="C217" s="11"/>
      <c r="D217" s="21" t="str">
        <f>IF(OR(C217="",'영어 단어장'!B217=""),"",IF(EXACT(LOWER(TRIM(C217)),LOWER(TRIM('영어 단어장'!B217))),"",'영어 단어장'!B217))</f>
        <v/>
      </c>
      <c r="E217" s="15" t="str">
        <f>IF(OR(B217="",C217=""),"",IF(EXACT(LOWER(TRIM(C217)),LOWER(TRIM('영어 단어장'!B217))),"⭕","❌"))</f>
        <v/>
      </c>
      <c r="F217" s="12"/>
    </row>
    <row r="218" spans="1:6" ht="21" x14ac:dyDescent="0.4">
      <c r="A218" s="10">
        <f t="shared" si="3"/>
        <v>217</v>
      </c>
      <c r="B218" s="10" t="str">
        <f>IF('영어 단어장'!C218="","",'영어 단어장'!C218)</f>
        <v>부르다, 신호하다</v>
      </c>
      <c r="C218" s="11"/>
      <c r="D218" s="21" t="str">
        <f>IF(OR(C218="",'영어 단어장'!B218=""),"",IF(EXACT(LOWER(TRIM(C218)),LOWER(TRIM('영어 단어장'!B218))),"",'영어 단어장'!B218))</f>
        <v/>
      </c>
      <c r="E218" s="15" t="str">
        <f>IF(OR(B218="",C218=""),"",IF(EXACT(LOWER(TRIM(C218)),LOWER(TRIM('영어 단어장'!B218))),"⭕","❌"))</f>
        <v/>
      </c>
      <c r="F218" s="12"/>
    </row>
    <row r="219" spans="1:6" ht="21" x14ac:dyDescent="0.4">
      <c r="A219" s="10">
        <f t="shared" si="3"/>
        <v>218</v>
      </c>
      <c r="B219" s="10" t="str">
        <f>IF('영어 단어장'!C219="","",'영어 단어장'!C219)</f>
        <v>계약, 걸리다</v>
      </c>
      <c r="C219" s="11"/>
      <c r="D219" s="21" t="str">
        <f>IF(OR(C219="",'영어 단어장'!B219=""),"",IF(EXACT(LOWER(TRIM(C219)),LOWER(TRIM('영어 단어장'!B219))),"",'영어 단어장'!B219))</f>
        <v/>
      </c>
      <c r="E219" s="15" t="str">
        <f>IF(OR(B219="",C219=""),"",IF(EXACT(LOWER(TRIM(C219)),LOWER(TRIM('영어 단어장'!B219))),"⭕","❌"))</f>
        <v/>
      </c>
      <c r="F219" s="12"/>
    </row>
    <row r="220" spans="1:6" ht="21" x14ac:dyDescent="0.4">
      <c r="A220" s="10">
        <f t="shared" si="3"/>
        <v>219</v>
      </c>
      <c r="B220" s="10" t="str">
        <f>IF('영어 단어장'!C220="","",'영어 단어장'!C220)</f>
        <v>제재, 처벌</v>
      </c>
      <c r="C220" s="11"/>
      <c r="D220" s="21" t="str">
        <f>IF(OR(C220="",'영어 단어장'!B220=""),"",IF(EXACT(LOWER(TRIM(C220)),LOWER(TRIM('영어 단어장'!B220))),"",'영어 단어장'!B220))</f>
        <v/>
      </c>
      <c r="E220" s="15" t="str">
        <f>IF(OR(B220="",C220=""),"",IF(EXACT(LOWER(TRIM(C220)),LOWER(TRIM('영어 단어장'!B220))),"⭕","❌"))</f>
        <v/>
      </c>
      <c r="F220" s="12"/>
    </row>
    <row r="221" spans="1:6" ht="21" x14ac:dyDescent="0.4">
      <c r="A221" s="10">
        <f t="shared" si="3"/>
        <v>220</v>
      </c>
      <c r="B221" s="10" t="str">
        <f>IF('영어 단어장'!C221="","",'영어 단어장'!C221)</f>
        <v>강화하다</v>
      </c>
      <c r="C221" s="11"/>
      <c r="D221" s="21" t="str">
        <f>IF(OR(C221="",'영어 단어장'!B221=""),"",IF(EXACT(LOWER(TRIM(C221)),LOWER(TRIM('영어 단어장'!B221))),"",'영어 단어장'!B221))</f>
        <v/>
      </c>
      <c r="E221" s="15" t="str">
        <f>IF(OR(B221="",C221=""),"",IF(EXACT(LOWER(TRIM(C221)),LOWER(TRIM('영어 단어장'!B221))),"⭕","❌"))</f>
        <v/>
      </c>
      <c r="F221" s="12"/>
    </row>
    <row r="222" spans="1:6" ht="21" x14ac:dyDescent="0.4">
      <c r="A222" s="10">
        <f t="shared" si="3"/>
        <v>221</v>
      </c>
      <c r="B222" s="10" t="str">
        <f>IF('영어 단어장'!C222="","",'영어 단어장'!C222)</f>
        <v>혼란시키다, 동요시키다</v>
      </c>
      <c r="C222" s="11"/>
      <c r="D222" s="21" t="str">
        <f>IF(OR(C222="",'영어 단어장'!B222=""),"",IF(EXACT(LOWER(TRIM(C222)),LOWER(TRIM('영어 단어장'!B222))),"",'영어 단어장'!B222))</f>
        <v/>
      </c>
      <c r="E222" s="15" t="str">
        <f>IF(OR(B222="",C222=""),"",IF(EXACT(LOWER(TRIM(C222)),LOWER(TRIM('영어 단어장'!B222))),"⭕","❌"))</f>
        <v/>
      </c>
      <c r="F222" s="12"/>
    </row>
    <row r="223" spans="1:6" ht="21" x14ac:dyDescent="0.4">
      <c r="A223" s="10">
        <f t="shared" si="3"/>
        <v>222</v>
      </c>
      <c r="B223" s="10" t="str">
        <f>IF('영어 단어장'!C223="","",'영어 단어장'!C223)</f>
        <v>질책하다</v>
      </c>
      <c r="C223" s="11"/>
      <c r="D223" s="21" t="str">
        <f>IF(OR(C223="",'영어 단어장'!B223=""),"",IF(EXACT(LOWER(TRIM(C223)),LOWER(TRIM('영어 단어장'!B223))),"",'영어 단어장'!B223))</f>
        <v/>
      </c>
      <c r="E223" s="15" t="str">
        <f>IF(OR(B223="",C223=""),"",IF(EXACT(LOWER(TRIM(C223)),LOWER(TRIM('영어 단어장'!B223))),"⭕","❌"))</f>
        <v/>
      </c>
      <c r="F223" s="12"/>
    </row>
    <row r="224" spans="1:6" ht="21" x14ac:dyDescent="0.4">
      <c r="A224" s="10">
        <f t="shared" si="3"/>
        <v>223</v>
      </c>
      <c r="B224" s="10" t="str">
        <f>IF('영어 단어장'!C224="","",'영어 단어장'!C224)</f>
        <v>질병</v>
      </c>
      <c r="C224" s="11"/>
      <c r="D224" s="21" t="str">
        <f>IF(OR(C224="",'영어 단어장'!B224=""),"",IF(EXACT(LOWER(TRIM(C224)),LOWER(TRIM('영어 단어장'!B224))),"",'영어 단어장'!B224))</f>
        <v/>
      </c>
      <c r="E224" s="15" t="str">
        <f>IF(OR(B224="",C224=""),"",IF(EXACT(LOWER(TRIM(C224)),LOWER(TRIM('영어 단어장'!B224))),"⭕","❌"))</f>
        <v/>
      </c>
      <c r="F224" s="12"/>
    </row>
    <row r="225" spans="1:6" ht="21" x14ac:dyDescent="0.4">
      <c r="A225" s="10">
        <f t="shared" si="3"/>
        <v>224</v>
      </c>
      <c r="B225" s="10" t="str">
        <f>IF('영어 단어장'!C225="","",'영어 단어장'!C225)</f>
        <v>완화</v>
      </c>
      <c r="C225" s="11"/>
      <c r="D225" s="21" t="str">
        <f>IF(OR(C225="",'영어 단어장'!B225=""),"",IF(EXACT(LOWER(TRIM(C225)),LOWER(TRIM('영어 단어장'!B225))),"",'영어 단어장'!B225))</f>
        <v/>
      </c>
      <c r="E225" s="15" t="str">
        <f>IF(OR(B225="",C225=""),"",IF(EXACT(LOWER(TRIM(C225)),LOWER(TRIM('영어 단어장'!B225))),"⭕","❌"))</f>
        <v/>
      </c>
      <c r="F225" s="12"/>
    </row>
    <row r="226" spans="1:6" ht="21" x14ac:dyDescent="0.4">
      <c r="A226" s="10">
        <f t="shared" si="3"/>
        <v>225</v>
      </c>
      <c r="B226" s="10" t="str">
        <f>IF('영어 단어장'!C226="","",'영어 단어장'!C226)</f>
        <v>실망</v>
      </c>
      <c r="C226" s="11"/>
      <c r="D226" s="21" t="str">
        <f>IF(OR(C226="",'영어 단어장'!B226=""),"",IF(EXACT(LOWER(TRIM(C226)),LOWER(TRIM('영어 단어장'!B226))),"",'영어 단어장'!B226))</f>
        <v/>
      </c>
      <c r="E226" s="15" t="str">
        <f>IF(OR(B226="",C226=""),"",IF(EXACT(LOWER(TRIM(C226)),LOWER(TRIM('영어 단어장'!B226))),"⭕","❌"))</f>
        <v/>
      </c>
      <c r="F226" s="12"/>
    </row>
    <row r="227" spans="1:6" ht="21" x14ac:dyDescent="0.4">
      <c r="A227" s="10">
        <f t="shared" si="3"/>
        <v>226</v>
      </c>
      <c r="B227" s="10" t="str">
        <f>IF('영어 단어장'!C227="","",'영어 단어장'!C227)</f>
        <v>반드시 ~해야하는, 필수의</v>
      </c>
      <c r="C227" s="11"/>
      <c r="D227" s="21" t="str">
        <f>IF(OR(C227="",'영어 단어장'!B227=""),"",IF(EXACT(LOWER(TRIM(C227)),LOWER(TRIM('영어 단어장'!B227))),"",'영어 단어장'!B227))</f>
        <v/>
      </c>
      <c r="E227" s="15" t="str">
        <f>IF(OR(B227="",C227=""),"",IF(EXACT(LOWER(TRIM(C227)),LOWER(TRIM('영어 단어장'!B227))),"⭕","❌"))</f>
        <v/>
      </c>
      <c r="F227" s="12"/>
    </row>
    <row r="228" spans="1:6" ht="21" x14ac:dyDescent="0.4">
      <c r="A228" s="10">
        <f t="shared" si="3"/>
        <v>227</v>
      </c>
      <c r="B228" s="10" t="str">
        <f>IF('영어 단어장'!C228="","",'영어 단어장'!C228)</f>
        <v>해결하다</v>
      </c>
      <c r="C228" s="11"/>
      <c r="D228" s="21" t="str">
        <f>IF(OR(C228="",'영어 단어장'!B228=""),"",IF(EXACT(LOWER(TRIM(C228)),LOWER(TRIM('영어 단어장'!B228))),"",'영어 단어장'!B228))</f>
        <v/>
      </c>
      <c r="E228" s="15" t="str">
        <f>IF(OR(B228="",C228=""),"",IF(EXACT(LOWER(TRIM(C228)),LOWER(TRIM('영어 단어장'!B228))),"⭕","❌"))</f>
        <v/>
      </c>
      <c r="F228" s="12"/>
    </row>
    <row r="229" spans="1:6" ht="21" x14ac:dyDescent="0.4">
      <c r="A229" s="10">
        <f t="shared" si="3"/>
        <v>228</v>
      </c>
      <c r="B229" s="10" t="str">
        <f>IF('영어 단어장'!C229="","",'영어 단어장'!C229)</f>
        <v>현재까지, 지금까지</v>
      </c>
      <c r="C229" s="11"/>
      <c r="D229" s="21" t="str">
        <f>IF(OR(C229="",'영어 단어장'!B229=""),"",IF(EXACT(LOWER(TRIM(C229)),LOWER(TRIM('영어 단어장'!B229))),"",'영어 단어장'!B229))</f>
        <v/>
      </c>
      <c r="E229" s="15" t="str">
        <f>IF(OR(B229="",C229=""),"",IF(EXACT(LOWER(TRIM(C229)),LOWER(TRIM('영어 단어장'!B229))),"⭕","❌"))</f>
        <v/>
      </c>
      <c r="F229" s="12"/>
    </row>
    <row r="230" spans="1:6" ht="21" x14ac:dyDescent="0.4">
      <c r="A230" s="10">
        <f t="shared" si="3"/>
        <v>229</v>
      </c>
      <c r="B230" s="10" t="str">
        <f>IF('영어 단어장'!C230="","",'영어 단어장'!C230)</f>
        <v>습관적으로</v>
      </c>
      <c r="C230" s="11"/>
      <c r="D230" s="21" t="str">
        <f>IF(OR(C230="",'영어 단어장'!B230=""),"",IF(EXACT(LOWER(TRIM(C230)),LOWER(TRIM('영어 단어장'!B230))),"",'영어 단어장'!B230))</f>
        <v/>
      </c>
      <c r="E230" s="15" t="str">
        <f>IF(OR(B230="",C230=""),"",IF(EXACT(LOWER(TRIM(C230)),LOWER(TRIM('영어 단어장'!B230))),"⭕","❌"))</f>
        <v/>
      </c>
      <c r="F230" s="12"/>
    </row>
    <row r="231" spans="1:6" ht="21" x14ac:dyDescent="0.4">
      <c r="A231" s="10">
        <f t="shared" si="3"/>
        <v>230</v>
      </c>
      <c r="B231" s="10" t="str">
        <f>IF('영어 단어장'!C231="","",'영어 단어장'!C231)</f>
        <v>예상하다</v>
      </c>
      <c r="C231" s="11"/>
      <c r="D231" s="21" t="str">
        <f>IF(OR(C231="",'영어 단어장'!B231=""),"",IF(EXACT(LOWER(TRIM(C231)),LOWER(TRIM('영어 단어장'!B231))),"",'영어 단어장'!B231))</f>
        <v/>
      </c>
      <c r="E231" s="15" t="str">
        <f>IF(OR(B231="",C231=""),"",IF(EXACT(LOWER(TRIM(C231)),LOWER(TRIM('영어 단어장'!B231))),"⭕","❌"))</f>
        <v/>
      </c>
      <c r="F231" s="12"/>
    </row>
    <row r="232" spans="1:6" ht="21" x14ac:dyDescent="0.4">
      <c r="A232" s="10">
        <f t="shared" si="3"/>
        <v>231</v>
      </c>
      <c r="B232" s="10" t="str">
        <f>IF('영어 단어장'!C232="","",'영어 단어장'!C232)</f>
        <v>쉬움, 완화하다</v>
      </c>
      <c r="C232" s="11"/>
      <c r="D232" s="21" t="str">
        <f>IF(OR(C232="",'영어 단어장'!B232=""),"",IF(EXACT(LOWER(TRIM(C232)),LOWER(TRIM('영어 단어장'!B232))),"",'영어 단어장'!B232))</f>
        <v/>
      </c>
      <c r="E232" s="15" t="str">
        <f>IF(OR(B232="",C232=""),"",IF(EXACT(LOWER(TRIM(C232)),LOWER(TRIM('영어 단어장'!B232))),"⭕","❌"))</f>
        <v/>
      </c>
      <c r="F232" s="12"/>
    </row>
    <row r="233" spans="1:6" ht="21" x14ac:dyDescent="0.4">
      <c r="A233" s="10">
        <f t="shared" si="3"/>
        <v>232</v>
      </c>
      <c r="B233" s="10" t="str">
        <f>IF('영어 단어장'!C233="","",'영어 단어장'!C233)</f>
        <v>박수, 칭찬</v>
      </c>
      <c r="C233" s="11"/>
      <c r="D233" s="21" t="str">
        <f>IF(OR(C233="",'영어 단어장'!B233=""),"",IF(EXACT(LOWER(TRIM(C233)),LOWER(TRIM('영어 단어장'!B233))),"",'영어 단어장'!B233))</f>
        <v/>
      </c>
      <c r="E233" s="15" t="str">
        <f>IF(OR(B233="",C233=""),"",IF(EXACT(LOWER(TRIM(C233)),LOWER(TRIM('영어 단어장'!B233))),"⭕","❌"))</f>
        <v/>
      </c>
      <c r="F233" s="12"/>
    </row>
    <row r="234" spans="1:6" ht="21" x14ac:dyDescent="0.4">
      <c r="A234" s="10">
        <f t="shared" si="3"/>
        <v>233</v>
      </c>
      <c r="B234" s="10" t="str">
        <f>IF('영어 단어장'!C234="","",'영어 단어장'!C234)</f>
        <v>안면의</v>
      </c>
      <c r="C234" s="11"/>
      <c r="D234" s="21" t="str">
        <f>IF(OR(C234="",'영어 단어장'!B234=""),"",IF(EXACT(LOWER(TRIM(C234)),LOWER(TRIM('영어 단어장'!B234))),"",'영어 단어장'!B234))</f>
        <v/>
      </c>
      <c r="E234" s="15" t="str">
        <f>IF(OR(B234="",C234=""),"",IF(EXACT(LOWER(TRIM(C234)),LOWER(TRIM('영어 단어장'!B234))),"⭕","❌"))</f>
        <v/>
      </c>
      <c r="F234" s="12"/>
    </row>
    <row r="235" spans="1:6" ht="21" x14ac:dyDescent="0.4">
      <c r="A235" s="10">
        <f t="shared" si="3"/>
        <v>234</v>
      </c>
      <c r="B235" s="10" t="str">
        <f>IF('영어 단어장'!C236="","",'영어 단어장'!C236)</f>
        <v>인내, 참을성</v>
      </c>
      <c r="C235" s="11"/>
      <c r="D235" s="21" t="str">
        <f>IF(OR(C235="",'영어 단어장'!B235=""),"",IF(EXACT(LOWER(TRIM(C235)),LOWER(TRIM('영어 단어장'!B235))),"",'영어 단어장'!B235))</f>
        <v/>
      </c>
      <c r="E235" s="15" t="str">
        <f>IF(OR(B235="",C235=""),"",IF(EXACT(LOWER(TRIM(C235)),LOWER(TRIM('영어 단어장'!B235))),"⭕","❌"))</f>
        <v/>
      </c>
      <c r="F235" s="12"/>
    </row>
    <row r="236" spans="1:6" ht="21" x14ac:dyDescent="0.4">
      <c r="A236" s="10">
        <f t="shared" si="3"/>
        <v>235</v>
      </c>
      <c r="B236" s="10" t="str">
        <f>IF('영어 단어장'!C237="","",'영어 단어장'!C237)</f>
        <v>잘못된 방향으로 이끌다</v>
      </c>
      <c r="C236" s="11"/>
      <c r="D236" s="21" t="str">
        <f>IF(OR(C236="",'영어 단어장'!B236=""),"",IF(EXACT(LOWER(TRIM(C236)),LOWER(TRIM('영어 단어장'!B236))),"",'영어 단어장'!B236))</f>
        <v/>
      </c>
      <c r="E236" s="15" t="str">
        <f>IF(OR(B236="",C236=""),"",IF(EXACT(LOWER(TRIM(C236)),LOWER(TRIM('영어 단어장'!B236))),"⭕","❌"))</f>
        <v/>
      </c>
      <c r="F236" s="12"/>
    </row>
    <row r="237" spans="1:6" ht="21" x14ac:dyDescent="0.4">
      <c r="A237" s="10">
        <f t="shared" si="3"/>
        <v>236</v>
      </c>
      <c r="B237" s="10" t="str">
        <f>IF('영어 단어장'!C238="","",'영어 단어장'!C238)</f>
        <v>대출</v>
      </c>
      <c r="C237" s="11"/>
      <c r="D237" s="21" t="str">
        <f>IF(OR(C237="",'영어 단어장'!B237=""),"",IF(EXACT(LOWER(TRIM(C237)),LOWER(TRIM('영어 단어장'!B237))),"",'영어 단어장'!B237))</f>
        <v/>
      </c>
      <c r="E237" s="15" t="str">
        <f>IF(OR(B237="",C237=""),"",IF(EXACT(LOWER(TRIM(C237)),LOWER(TRIM('영어 단어장'!B237))),"⭕","❌"))</f>
        <v/>
      </c>
      <c r="F237" s="12"/>
    </row>
    <row r="238" spans="1:6" ht="21" x14ac:dyDescent="0.4">
      <c r="A238" s="10">
        <f t="shared" si="3"/>
        <v>237</v>
      </c>
      <c r="B238" s="10" t="str">
        <f>IF('영어 단어장'!C239="","",'영어 단어장'!C239)</f>
        <v>논쟁, 토론</v>
      </c>
      <c r="C238" s="11"/>
      <c r="D238" s="21" t="str">
        <f>IF(OR(C238="",'영어 단어장'!B238=""),"",IF(EXACT(LOWER(TRIM(C238)),LOWER(TRIM('영어 단어장'!B238))),"",'영어 단어장'!B238))</f>
        <v/>
      </c>
      <c r="E238" s="15" t="str">
        <f>IF(OR(B238="",C238=""),"",IF(EXACT(LOWER(TRIM(C238)),LOWER(TRIM('영어 단어장'!B238))),"⭕","❌"))</f>
        <v/>
      </c>
      <c r="F238" s="12"/>
    </row>
    <row r="239" spans="1:6" ht="21" x14ac:dyDescent="0.4">
      <c r="A239" s="10">
        <f t="shared" si="3"/>
        <v>238</v>
      </c>
      <c r="B239" s="10" t="str">
        <f>IF('영어 단어장'!C239="","",'영어 단어장'!C239)</f>
        <v>논쟁, 토론</v>
      </c>
      <c r="C239" s="11"/>
      <c r="D239" s="21" t="str">
        <f>IF(OR(C239="",'영어 단어장'!B239=""),"",IF(EXACT(LOWER(TRIM(C239)),LOWER(TRIM('영어 단어장'!B239))),"",'영어 단어장'!B239))</f>
        <v/>
      </c>
      <c r="E239" s="15" t="str">
        <f>IF(OR(B239="",C239=""),"",IF(EXACT(LOWER(TRIM(C239)),LOWER(TRIM('영어 단어장'!B239))),"⭕","❌"))</f>
        <v/>
      </c>
      <c r="F239" s="12"/>
    </row>
    <row r="240" spans="1:6" ht="21" x14ac:dyDescent="0.4">
      <c r="A240" s="10">
        <f t="shared" si="3"/>
        <v>239</v>
      </c>
      <c r="B240" s="10" t="str">
        <f>IF('영어 단어장'!C240="","",'영어 단어장'!C240)</f>
        <v>수치, 인물, 생각하다</v>
      </c>
      <c r="C240" s="11"/>
      <c r="D240" s="21" t="str">
        <f>IF(OR(C240="",'영어 단어장'!B240=""),"",IF(EXACT(LOWER(TRIM(C240)),LOWER(TRIM('영어 단어장'!B240))),"",'영어 단어장'!B240))</f>
        <v/>
      </c>
      <c r="E240" s="15" t="str">
        <f>IF(OR(B240="",C240=""),"",IF(EXACT(LOWER(TRIM(C240)),LOWER(TRIM('영어 단어장'!B240))),"⭕","❌"))</f>
        <v/>
      </c>
      <c r="F240" s="12"/>
    </row>
    <row r="241" spans="1:6" ht="21" x14ac:dyDescent="0.4">
      <c r="A241" s="10">
        <f t="shared" si="3"/>
        <v>240</v>
      </c>
      <c r="B241" s="10" t="str">
        <f>IF('영어 단어장'!C241="","",'영어 단어장'!C241)</f>
        <v>가치가 있는</v>
      </c>
      <c r="C241" s="11"/>
      <c r="D241" s="21" t="str">
        <f>IF(OR(C241="",'영어 단어장'!B241=""),"",IF(EXACT(LOWER(TRIM(C241)),LOWER(TRIM('영어 단어장'!B241))),"",'영어 단어장'!B241))</f>
        <v/>
      </c>
      <c r="E241" s="15" t="str">
        <f>IF(OR(B241="",C241=""),"",IF(EXACT(LOWER(TRIM(C241)),LOWER(TRIM('영어 단어장'!B241))),"⭕","❌"))</f>
        <v/>
      </c>
      <c r="F241" s="12"/>
    </row>
    <row r="242" spans="1:6" ht="21" x14ac:dyDescent="0.4">
      <c r="A242" s="10">
        <f t="shared" si="3"/>
        <v>241</v>
      </c>
      <c r="B242" s="10" t="str">
        <f>IF('영어 단어장'!C242="","",'영어 단어장'!C242)</f>
        <v>지속적인</v>
      </c>
      <c r="C242" s="11"/>
      <c r="D242" s="21" t="str">
        <f>IF(OR(C242="",'영어 단어장'!B242=""),"",IF(EXACT(LOWER(TRIM(C242)),LOWER(TRIM('영어 단어장'!B242))),"",'영어 단어장'!B242))</f>
        <v/>
      </c>
      <c r="E242" s="15" t="str">
        <f>IF(OR(B242="",C242=""),"",IF(EXACT(LOWER(TRIM(C242)),LOWER(TRIM('영어 단어장'!B242))),"⭕","❌"))</f>
        <v/>
      </c>
      <c r="F242" s="12"/>
    </row>
    <row r="243" spans="1:6" ht="21" x14ac:dyDescent="0.4">
      <c r="A243" s="10">
        <f t="shared" si="3"/>
        <v>242</v>
      </c>
      <c r="B243" s="10" t="str">
        <f>IF('영어 단어장'!C243="","",'영어 단어장'!C243)</f>
        <v>비판</v>
      </c>
      <c r="C243" s="11"/>
      <c r="D243" s="21" t="str">
        <f>IF(OR(C243="",'영어 단어장'!B243=""),"",IF(EXACT(LOWER(TRIM(C243)),LOWER(TRIM('영어 단어장'!B243))),"",'영어 단어장'!B243))</f>
        <v/>
      </c>
      <c r="E243" s="15" t="str">
        <f>IF(OR(B243="",C243=""),"",IF(EXACT(LOWER(TRIM(C243)),LOWER(TRIM('영어 단어장'!B243))),"⭕","❌"))</f>
        <v/>
      </c>
      <c r="F243" s="12"/>
    </row>
    <row r="244" spans="1:6" ht="21" x14ac:dyDescent="0.4">
      <c r="A244" s="10">
        <f t="shared" si="3"/>
        <v>243</v>
      </c>
      <c r="B244" s="10" t="str">
        <f>IF('영어 단어장'!C244="","",'영어 단어장'!C244)</f>
        <v>짧은, 보고서, 개요</v>
      </c>
      <c r="C244" s="11"/>
      <c r="D244" s="21" t="str">
        <f>IF(OR(C244="",'영어 단어장'!B244=""),"",IF(EXACT(LOWER(TRIM(C244)),LOWER(TRIM('영어 단어장'!B244))),"",'영어 단어장'!B244))</f>
        <v/>
      </c>
      <c r="E244" s="15" t="str">
        <f>IF(OR(B244="",C244=""),"",IF(EXACT(LOWER(TRIM(C244)),LOWER(TRIM('영어 단어장'!B244))),"⭕","❌"))</f>
        <v/>
      </c>
      <c r="F244" s="12"/>
    </row>
    <row r="245" spans="1:6" ht="21" x14ac:dyDescent="0.4">
      <c r="A245" s="10">
        <f t="shared" si="3"/>
        <v>244</v>
      </c>
      <c r="B245" s="10" t="str">
        <f>IF('영어 단어장'!C245="","",'영어 단어장'!C245)</f>
        <v>비난, 고소, 죄</v>
      </c>
      <c r="C245" s="11"/>
      <c r="D245" s="21" t="str">
        <f>IF(OR(C245="",'영어 단어장'!B245=""),"",IF(EXACT(LOWER(TRIM(C245)),LOWER(TRIM('영어 단어장'!B245))),"",'영어 단어장'!B245))</f>
        <v/>
      </c>
      <c r="E245" s="15" t="str">
        <f>IF(OR(B245="",C245=""),"",IF(EXACT(LOWER(TRIM(C245)),LOWER(TRIM('영어 단어장'!B245))),"⭕","❌"))</f>
        <v/>
      </c>
      <c r="F245" s="12"/>
    </row>
    <row r="246" spans="1:6" ht="21" x14ac:dyDescent="0.4">
      <c r="A246" s="10">
        <f t="shared" si="3"/>
        <v>245</v>
      </c>
      <c r="B246" s="10" t="str">
        <f>IF('영어 단어장'!C246="","",'영어 단어장'!C246)</f>
        <v>기증자</v>
      </c>
      <c r="C246" s="11"/>
      <c r="D246" s="21" t="str">
        <f>IF(OR(C246="",'영어 단어장'!B246=""),"",IF(EXACT(LOWER(TRIM(C246)),LOWER(TRIM('영어 단어장'!B246))),"",'영어 단어장'!B246))</f>
        <v/>
      </c>
      <c r="E246" s="15" t="str">
        <f>IF(OR(B246="",C246=""),"",IF(EXACT(LOWER(TRIM(C246)),LOWER(TRIM('영어 단어장'!B246))),"⭕","❌"))</f>
        <v/>
      </c>
      <c r="F246" s="12"/>
    </row>
    <row r="247" spans="1:6" ht="21" x14ac:dyDescent="0.4">
      <c r="A247" s="10">
        <f t="shared" si="3"/>
        <v>246</v>
      </c>
      <c r="B247" s="10" t="str">
        <f>IF('영어 단어장'!C247="","",'영어 단어장'!C247)</f>
        <v>자연, 본성, 성격</v>
      </c>
      <c r="C247" s="11"/>
      <c r="D247" s="21" t="str">
        <f>IF(OR(C247="",'영어 단어장'!B247=""),"",IF(EXACT(LOWER(TRIM(C247)),LOWER(TRIM('영어 단어장'!B247))),"",'영어 단어장'!B247))</f>
        <v/>
      </c>
      <c r="E247" s="15" t="str">
        <f>IF(OR(B247="",C247=""),"",IF(EXACT(LOWER(TRIM(C247)),LOWER(TRIM('영어 단어장'!B247))),"⭕","❌"))</f>
        <v/>
      </c>
      <c r="F247" s="12"/>
    </row>
    <row r="248" spans="1:6" ht="21" x14ac:dyDescent="0.4">
      <c r="A248" s="10">
        <f t="shared" si="3"/>
        <v>247</v>
      </c>
      <c r="B248" s="10" t="str">
        <f>IF('영어 단어장'!C248="","",'영어 단어장'!C248)</f>
        <v>~중에</v>
      </c>
      <c r="C248" s="11"/>
      <c r="D248" s="21" t="str">
        <f>IF(OR(C248="",'영어 단어장'!B248=""),"",IF(EXACT(LOWER(TRIM(C248)),LOWER(TRIM('영어 단어장'!B248))),"",'영어 단어장'!B248))</f>
        <v/>
      </c>
      <c r="E248" s="15" t="str">
        <f>IF(OR(B248="",C248=""),"",IF(EXACT(LOWER(TRIM(C248)),LOWER(TRIM('영어 단어장'!B248))),"⭕","❌"))</f>
        <v/>
      </c>
      <c r="F248" s="12"/>
    </row>
    <row r="249" spans="1:6" ht="21" x14ac:dyDescent="0.4">
      <c r="A249" s="10">
        <f t="shared" si="3"/>
        <v>248</v>
      </c>
      <c r="B249" s="10" t="str">
        <f>IF('영어 단어장'!C249="","",'영어 단어장'!C249)</f>
        <v>자산</v>
      </c>
      <c r="C249" s="11"/>
      <c r="D249" s="21" t="str">
        <f>IF(OR(C249="",'영어 단어장'!B249=""),"",IF(EXACT(LOWER(TRIM(C249)),LOWER(TRIM('영어 단어장'!B249))),"",'영어 단어장'!B249))</f>
        <v/>
      </c>
      <c r="E249" s="15" t="str">
        <f>IF(OR(B249="",C249=""),"",IF(EXACT(LOWER(TRIM(C249)),LOWER(TRIM('영어 단어장'!B249))),"⭕","❌"))</f>
        <v/>
      </c>
      <c r="F249" s="12"/>
    </row>
    <row r="250" spans="1:6" ht="21" x14ac:dyDescent="0.4">
      <c r="A250" s="10">
        <f t="shared" si="3"/>
        <v>249</v>
      </c>
      <c r="B250" s="10" t="str">
        <f>IF('영어 단어장'!C250="","",'영어 단어장'!C250)</f>
        <v>굴욕, 창피를 주기</v>
      </c>
      <c r="C250" s="11"/>
      <c r="D250" s="21" t="str">
        <f>IF(OR(C250="",'영어 단어장'!B250=""),"",IF(EXACT(LOWER(TRIM(C250)),LOWER(TRIM('영어 단어장'!B250))),"",'영어 단어장'!B250))</f>
        <v/>
      </c>
      <c r="E250" s="15" t="str">
        <f>IF(OR(B250="",C250=""),"",IF(EXACT(LOWER(TRIM(C250)),LOWER(TRIM('영어 단어장'!B250))),"⭕","❌"))</f>
        <v/>
      </c>
      <c r="F250" s="12"/>
    </row>
    <row r="251" spans="1:6" ht="21" x14ac:dyDescent="0.4">
      <c r="A251" s="10">
        <f t="shared" si="3"/>
        <v>250</v>
      </c>
      <c r="B251" s="10" t="str">
        <f>IF('영어 단어장'!C251="","",'영어 단어장'!C251)</f>
        <v>뇌물을 주다, 매수하다</v>
      </c>
      <c r="C251" s="11"/>
      <c r="D251" s="21" t="str">
        <f>IF(OR(C251="",'영어 단어장'!B251=""),"",IF(EXACT(LOWER(TRIM(C251)),LOWER(TRIM('영어 단어장'!B251))),"",'영어 단어장'!B251))</f>
        <v/>
      </c>
      <c r="E251" s="15" t="str">
        <f>IF(OR(B251="",C251=""),"",IF(EXACT(LOWER(TRIM(C251)),LOWER(TRIM('영어 단어장'!B251))),"⭕","❌"))</f>
        <v/>
      </c>
      <c r="F251" s="12"/>
    </row>
    <row r="252" spans="1:6" ht="21" x14ac:dyDescent="0.4">
      <c r="A252" s="10">
        <f t="shared" si="3"/>
        <v>251</v>
      </c>
      <c r="B252" s="10" t="str">
        <f>IF('영어 단어장'!C252="","",'영어 단어장'!C252)</f>
        <v>체조 선수</v>
      </c>
      <c r="C252" s="11"/>
      <c r="D252" s="21" t="str">
        <f>IF(OR(C252="",'영어 단어장'!B252=""),"",IF(EXACT(LOWER(TRIM(C252)),LOWER(TRIM('영어 단어장'!B252))),"",'영어 단어장'!B252))</f>
        <v/>
      </c>
      <c r="E252" s="15" t="str">
        <f>IF(OR(B252="",C252=""),"",IF(EXACT(LOWER(TRIM(C252)),LOWER(TRIM('영어 단어장'!B252))),"⭕","❌"))</f>
        <v/>
      </c>
      <c r="F252" s="12"/>
    </row>
    <row r="253" spans="1:6" ht="21" x14ac:dyDescent="0.4">
      <c r="A253" s="10">
        <f t="shared" si="3"/>
        <v>252</v>
      </c>
      <c r="B253" s="10" t="str">
        <f>IF('영어 단어장'!C253="","",'영어 단어장'!C253)</f>
        <v>뒤집다</v>
      </c>
      <c r="C253" s="11"/>
      <c r="D253" s="21" t="str">
        <f>IF(OR(C253="",'영어 단어장'!B253=""),"",IF(EXACT(LOWER(TRIM(C253)),LOWER(TRIM('영어 단어장'!B253))),"",'영어 단어장'!B253))</f>
        <v/>
      </c>
      <c r="E253" s="15" t="str">
        <f>IF(OR(B253="",C253=""),"",IF(EXACT(LOWER(TRIM(C253)),LOWER(TRIM('영어 단어장'!B253))),"⭕","❌"))</f>
        <v/>
      </c>
      <c r="F253" s="12"/>
    </row>
    <row r="254" spans="1:6" ht="21" x14ac:dyDescent="0.4">
      <c r="A254" s="10">
        <f t="shared" si="3"/>
        <v>253</v>
      </c>
      <c r="B254" s="10" t="str">
        <f>IF('영어 단어장'!C254="","",'영어 단어장'!C254)</f>
        <v>정전</v>
      </c>
      <c r="C254" s="11"/>
      <c r="D254" s="21" t="str">
        <f>IF(OR(C254="",'영어 단어장'!B254=""),"",IF(EXACT(LOWER(TRIM(C254)),LOWER(TRIM('영어 단어장'!B254))),"",'영어 단어장'!B254))</f>
        <v/>
      </c>
      <c r="E254" s="15" t="str">
        <f>IF(OR(B254="",C254=""),"",IF(EXACT(LOWER(TRIM(C254)),LOWER(TRIM('영어 단어장'!B254))),"⭕","❌"))</f>
        <v/>
      </c>
      <c r="F254" s="12"/>
    </row>
    <row r="255" spans="1:6" ht="21" x14ac:dyDescent="0.4">
      <c r="A255" s="10">
        <f t="shared" si="3"/>
        <v>254</v>
      </c>
      <c r="B255" s="10" t="str">
        <f>IF('영어 단어장'!C255="","",'영어 단어장'!C255)</f>
        <v>거부하다, 거절하다</v>
      </c>
      <c r="C255" s="11"/>
      <c r="D255" s="21" t="str">
        <f>IF(OR(C255="",'영어 단어장'!B255=""),"",IF(EXACT(LOWER(TRIM(C255)),LOWER(TRIM('영어 단어장'!B255))),"",'영어 단어장'!B255))</f>
        <v/>
      </c>
      <c r="E255" s="15" t="str">
        <f>IF(OR(B255="",C255=""),"",IF(EXACT(LOWER(TRIM(C255)),LOWER(TRIM('영어 단어장'!B255))),"⭕","❌"))</f>
        <v/>
      </c>
      <c r="F255" s="12"/>
    </row>
    <row r="256" spans="1:6" ht="21" x14ac:dyDescent="0.4">
      <c r="A256" s="10">
        <f t="shared" si="3"/>
        <v>255</v>
      </c>
      <c r="B256" s="10" t="str">
        <f>IF('영어 단어장'!C256="","",'영어 단어장'!C256)</f>
        <v>처방하다</v>
      </c>
      <c r="C256" s="11"/>
      <c r="D256" s="21" t="str">
        <f>IF(OR(C256="",'영어 단어장'!B256=""),"",IF(EXACT(LOWER(TRIM(C256)),LOWER(TRIM('영어 단어장'!B256))),"",'영어 단어장'!B256))</f>
        <v/>
      </c>
      <c r="E256" s="15" t="str">
        <f>IF(OR(B256="",C256=""),"",IF(EXACT(LOWER(TRIM(C256)),LOWER(TRIM('영어 단어장'!B256))),"⭕","❌"))</f>
        <v/>
      </c>
      <c r="F256" s="12"/>
    </row>
    <row r="257" spans="1:6" ht="21" x14ac:dyDescent="0.4">
      <c r="A257" s="10">
        <f t="shared" si="3"/>
        <v>256</v>
      </c>
      <c r="B257" s="10" t="str">
        <f>IF('영어 단어장'!C257="","",'영어 단어장'!C257)</f>
        <v>결정적인, 단호한</v>
      </c>
      <c r="C257" s="11"/>
      <c r="D257" s="21" t="str">
        <f>IF(OR(C257="",'영어 단어장'!B257=""),"",IF(EXACT(LOWER(TRIM(C257)),LOWER(TRIM('영어 단어장'!B257))),"",'영어 단어장'!B257))</f>
        <v/>
      </c>
      <c r="E257" s="15" t="str">
        <f>IF(OR(B257="",C257=""),"",IF(EXACT(LOWER(TRIM(C257)),LOWER(TRIM('영어 단어장'!B257))),"⭕","❌"))</f>
        <v/>
      </c>
      <c r="F257" s="12"/>
    </row>
    <row r="258" spans="1:6" ht="21" x14ac:dyDescent="0.4">
      <c r="A258" s="10">
        <f t="shared" si="3"/>
        <v>257</v>
      </c>
      <c r="B258" s="10" t="str">
        <f>IF('영어 단어장'!C258="","",'영어 단어장'!C258)</f>
        <v>신뢰할 수 있는</v>
      </c>
      <c r="C258" s="11"/>
      <c r="D258" s="21" t="str">
        <f>IF(OR(C258="",'영어 단어장'!B258=""),"",IF(EXACT(LOWER(TRIM(C258)),LOWER(TRIM('영어 단어장'!B258))),"",'영어 단어장'!B258))</f>
        <v/>
      </c>
      <c r="E258" s="15" t="str">
        <f>IF(OR(B258="",C258=""),"",IF(EXACT(LOWER(TRIM(C258)),LOWER(TRIM('영어 단어장'!B258))),"⭕","❌"))</f>
        <v/>
      </c>
      <c r="F258" s="12"/>
    </row>
    <row r="259" spans="1:6" ht="21" x14ac:dyDescent="0.4">
      <c r="A259" s="10">
        <f t="shared" ref="A259:A322" si="4">ROW()-1</f>
        <v>258</v>
      </c>
      <c r="B259" s="10" t="str">
        <f>IF('영어 단어장'!C259="","",'영어 단어장'!C259)</f>
        <v>의존하는</v>
      </c>
      <c r="C259" s="11"/>
      <c r="D259" s="21" t="str">
        <f>IF(OR(C259="",'영어 단어장'!B259=""),"",IF(EXACT(LOWER(TRIM(C259)),LOWER(TRIM('영어 단어장'!B259))),"",'영어 단어장'!B259))</f>
        <v/>
      </c>
      <c r="E259" s="15" t="str">
        <f>IF(OR(B259="",C259=""),"",IF(EXACT(LOWER(TRIM(C259)),LOWER(TRIM('영어 단어장'!B259))),"⭕","❌"))</f>
        <v/>
      </c>
      <c r="F259" s="12"/>
    </row>
    <row r="260" spans="1:6" ht="21" x14ac:dyDescent="0.4">
      <c r="A260" s="10">
        <f t="shared" si="4"/>
        <v>259</v>
      </c>
      <c r="B260" s="10" t="str">
        <f>IF('영어 단어장'!C260="","",'영어 단어장'!C260)</f>
        <v>자신 있는, 확신하는</v>
      </c>
      <c r="C260" s="11"/>
      <c r="D260" s="21" t="str">
        <f>IF(OR(C260="",'영어 단어장'!B260=""),"",IF(EXACT(LOWER(TRIM(C260)),LOWER(TRIM('영어 단어장'!B260))),"",'영어 단어장'!B260))</f>
        <v/>
      </c>
      <c r="E260" s="15" t="str">
        <f>IF(OR(B260="",C260=""),"",IF(EXACT(LOWER(TRIM(C260)),LOWER(TRIM('영어 단어장'!B260))),"⭕","❌"))</f>
        <v/>
      </c>
      <c r="F260" s="12"/>
    </row>
    <row r="261" spans="1:6" ht="21" x14ac:dyDescent="0.4">
      <c r="A261" s="10">
        <f t="shared" si="4"/>
        <v>260</v>
      </c>
      <c r="B261" s="10" t="str">
        <f>IF('영어 단어장'!C261="","",'영어 단어장'!C261)</f>
        <v>비밀의, 기밀의</v>
      </c>
      <c r="C261" s="11"/>
      <c r="D261" s="21" t="str">
        <f>IF(OR(C261="",'영어 단어장'!B261=""),"",IF(EXACT(LOWER(TRIM(C261)),LOWER(TRIM('영어 단어장'!B261))),"",'영어 단어장'!B261))</f>
        <v/>
      </c>
      <c r="E261" s="15" t="str">
        <f>IF(OR(B261="",C261=""),"",IF(EXACT(LOWER(TRIM(C261)),LOWER(TRIM('영어 단어장'!B261))),"⭕","❌"))</f>
        <v/>
      </c>
      <c r="F261" s="12"/>
    </row>
    <row r="262" spans="1:6" ht="21" x14ac:dyDescent="0.4">
      <c r="A262" s="10">
        <f t="shared" si="4"/>
        <v>261</v>
      </c>
      <c r="B262" s="10" t="str">
        <f>IF('영어 단어장'!C262="","",'영어 단어장'!C262)</f>
        <v>배려하는</v>
      </c>
      <c r="C262" s="11"/>
      <c r="D262" s="21" t="str">
        <f>IF(OR(C262="",'영어 단어장'!B262=""),"",IF(EXACT(LOWER(TRIM(C262)),LOWER(TRIM('영어 단어장'!B262))),"",'영어 단어장'!B262))</f>
        <v/>
      </c>
      <c r="E262" s="15" t="str">
        <f>IF(OR(B262="",C262=""),"",IF(EXACT(LOWER(TRIM(C262)),LOWER(TRIM('영어 단어장'!B262))),"⭕","❌"))</f>
        <v/>
      </c>
      <c r="F262" s="12"/>
    </row>
    <row r="263" spans="1:6" ht="21" x14ac:dyDescent="0.4">
      <c r="A263" s="10">
        <f t="shared" si="4"/>
        <v>262</v>
      </c>
      <c r="B263" s="10" t="str">
        <f>IF('영어 단어장'!C263="","",'영어 단어장'!C263)</f>
        <v>상당한, 꽤</v>
      </c>
      <c r="C263" s="11"/>
      <c r="D263" s="21" t="str">
        <f>IF(OR(C263="",'영어 단어장'!B263=""),"",IF(EXACT(LOWER(TRIM(C263)),LOWER(TRIM('영어 단어장'!B263))),"",'영어 단어장'!B263))</f>
        <v/>
      </c>
      <c r="E263" s="15" t="str">
        <f>IF(OR(B263="",C263=""),"",IF(EXACT(LOWER(TRIM(C263)),LOWER(TRIM('영어 단어장'!B263))),"⭕","❌"))</f>
        <v/>
      </c>
      <c r="F263" s="12"/>
    </row>
    <row r="264" spans="1:6" ht="21" x14ac:dyDescent="0.4">
      <c r="A264" s="10">
        <f t="shared" si="4"/>
        <v>263</v>
      </c>
      <c r="B264" s="10" t="str">
        <f>IF('영어 단어장'!C264="","",'영어 단어장'!C264)</f>
        <v>유리한, 좋은</v>
      </c>
      <c r="C264" s="11"/>
      <c r="D264" s="21" t="str">
        <f>IF(OR(C264="",'영어 단어장'!B264=""),"",IF(EXACT(LOWER(TRIM(C264)),LOWER(TRIM('영어 단어장'!B264))),"",'영어 단어장'!B264))</f>
        <v/>
      </c>
      <c r="E264" s="15" t="str">
        <f>IF(OR(B264="",C264=""),"",IF(EXACT(LOWER(TRIM(C264)),LOWER(TRIM('영어 단어장'!B264))),"⭕","❌"))</f>
        <v/>
      </c>
      <c r="F264" s="12"/>
    </row>
    <row r="265" spans="1:6" ht="21" x14ac:dyDescent="0.4">
      <c r="A265" s="10">
        <f t="shared" si="4"/>
        <v>264</v>
      </c>
      <c r="B265" s="10" t="str">
        <f>IF('영어 단어장'!C265="","",'영어 단어장'!C265)</f>
        <v>좋아하는, 마음에 드는</v>
      </c>
      <c r="C265" s="11"/>
      <c r="D265" s="21" t="str">
        <f>IF(OR(C265="",'영어 단어장'!B265=""),"",IF(EXACT(LOWER(TRIM(C265)),LOWER(TRIM('영어 단어장'!B265))),"",'영어 단어장'!B265))</f>
        <v/>
      </c>
      <c r="E265" s="15" t="str">
        <f>IF(OR(B265="",C265=""),"",IF(EXACT(LOWER(TRIM(C265)),LOWER(TRIM('영어 단어장'!B265))),"⭕","❌"))</f>
        <v/>
      </c>
      <c r="F265" s="12"/>
    </row>
    <row r="266" spans="1:6" ht="21" x14ac:dyDescent="0.4">
      <c r="A266" s="10">
        <f t="shared" si="4"/>
        <v>265</v>
      </c>
      <c r="B266" s="10" t="str">
        <f>IF('영어 단어장'!C266="","",'영어 단어장'!C266)</f>
        <v>종양</v>
      </c>
      <c r="C266" s="11"/>
      <c r="D266" s="21" t="str">
        <f>IF(OR(C266="",'영어 단어장'!B266=""),"",IF(EXACT(LOWER(TRIM(C266)),LOWER(TRIM('영어 단어장'!B266))),"",'영어 단어장'!B266))</f>
        <v/>
      </c>
      <c r="E266" s="15" t="str">
        <f>IF(OR(B266="",C266=""),"",IF(EXACT(LOWER(TRIM(C266)),LOWER(TRIM('영어 단어장'!B266))),"⭕","❌"))</f>
        <v/>
      </c>
      <c r="F266" s="12"/>
    </row>
    <row r="267" spans="1:6" ht="21" x14ac:dyDescent="0.4">
      <c r="A267" s="10">
        <f t="shared" si="4"/>
        <v>266</v>
      </c>
      <c r="B267" s="10" t="str">
        <f>IF('영어 단어장'!C267="","",'영어 단어장'!C267)</f>
        <v>평판, 명성</v>
      </c>
      <c r="C267" s="11"/>
      <c r="D267" s="21" t="str">
        <f>IF(OR(C267="",'영어 단어장'!B267=""),"",IF(EXACT(LOWER(TRIM(C267)),LOWER(TRIM('영어 단어장'!B267))),"",'영어 단어장'!B267))</f>
        <v/>
      </c>
      <c r="E267" s="15" t="str">
        <f>IF(OR(B267="",C267=""),"",IF(EXACT(LOWER(TRIM(C267)),LOWER(TRIM('영어 단어장'!B267))),"⭕","❌"))</f>
        <v/>
      </c>
      <c r="F267" s="12"/>
    </row>
    <row r="268" spans="1:6" ht="21" x14ac:dyDescent="0.4">
      <c r="A268" s="10">
        <f t="shared" si="4"/>
        <v>267</v>
      </c>
      <c r="B268" s="10" t="str">
        <f>IF('영어 단어장'!C268="","",'영어 단어장'!C268)</f>
        <v>도둑, 강도</v>
      </c>
      <c r="C268" s="11"/>
      <c r="D268" s="21" t="str">
        <f>IF(OR(C268="",'영어 단어장'!B268=""),"",IF(EXACT(LOWER(TRIM(C268)),LOWER(TRIM('영어 단어장'!B268))),"",'영어 단어장'!B268))</f>
        <v/>
      </c>
      <c r="E268" s="15" t="str">
        <f>IF(OR(B268="",C268=""),"",IF(EXACT(LOWER(TRIM(C268)),LOWER(TRIM('영어 단어장'!B268))),"⭕","❌"))</f>
        <v/>
      </c>
      <c r="F268" s="12"/>
    </row>
    <row r="269" spans="1:6" ht="21" x14ac:dyDescent="0.4">
      <c r="A269" s="10">
        <f t="shared" si="4"/>
        <v>268</v>
      </c>
      <c r="B269" s="10" t="str">
        <f>IF('영어 단어장'!C269="","",'영어 단어장'!C269)</f>
        <v>사기</v>
      </c>
      <c r="C269" s="11"/>
      <c r="D269" s="21" t="str">
        <f>IF(OR(C269="",'영어 단어장'!B269=""),"",IF(EXACT(LOWER(TRIM(C269)),LOWER(TRIM('영어 단어장'!B269))),"",'영어 단어장'!B269))</f>
        <v/>
      </c>
      <c r="E269" s="15" t="str">
        <f>IF(OR(B269="",C269=""),"",IF(EXACT(LOWER(TRIM(C269)),LOWER(TRIM('영어 단어장'!B269))),"⭕","❌"))</f>
        <v/>
      </c>
      <c r="F269" s="12"/>
    </row>
    <row r="270" spans="1:6" ht="21" x14ac:dyDescent="0.4">
      <c r="A270" s="10">
        <f t="shared" si="4"/>
        <v>269</v>
      </c>
      <c r="B270" s="10" t="str">
        <f>IF('영어 단어장'!C270="","",'영어 단어장'!C270)</f>
        <v>논쟁, 토론</v>
      </c>
      <c r="C270" s="11"/>
      <c r="D270" s="21" t="str">
        <f>IF(OR(C270="",'영어 단어장'!B270=""),"",IF(EXACT(LOWER(TRIM(C270)),LOWER(TRIM('영어 단어장'!B270))),"",'영어 단어장'!B270))</f>
        <v/>
      </c>
      <c r="E270" s="15" t="str">
        <f>IF(OR(B270="",C270=""),"",IF(EXACT(LOWER(TRIM(C270)),LOWER(TRIM('영어 단어장'!B270))),"⭕","❌"))</f>
        <v/>
      </c>
      <c r="F270" s="12"/>
    </row>
    <row r="271" spans="1:6" ht="21" x14ac:dyDescent="0.4">
      <c r="A271" s="10">
        <f t="shared" si="4"/>
        <v>270</v>
      </c>
      <c r="B271" s="10" t="str">
        <f>IF('영어 단어장'!C271="","",'영어 단어장'!C271)</f>
        <v>터지다, 폭발하다</v>
      </c>
      <c r="C271" s="11"/>
      <c r="D271" s="21" t="str">
        <f>IF(OR(C271="",'영어 단어장'!B271=""),"",IF(EXACT(LOWER(TRIM(C271)),LOWER(TRIM('영어 단어장'!B271))),"",'영어 단어장'!B271))</f>
        <v/>
      </c>
      <c r="E271" s="15" t="str">
        <f>IF(OR(B271="",C271=""),"",IF(EXACT(LOWER(TRIM(C271)),LOWER(TRIM('영어 단어장'!B271))),"⭕","❌"))</f>
        <v/>
      </c>
      <c r="F271" s="12"/>
    </row>
    <row r="272" spans="1:6" ht="21" x14ac:dyDescent="0.4">
      <c r="A272" s="10">
        <f t="shared" si="4"/>
        <v>271</v>
      </c>
      <c r="B272" s="10" t="str">
        <f>IF('영어 단어장'!C272="","",'영어 단어장'!C272)</f>
        <v>등록금, 수업료</v>
      </c>
      <c r="C272" s="11"/>
      <c r="D272" s="21" t="str">
        <f>IF(OR(C272="",'영어 단어장'!B272=""),"",IF(EXACT(LOWER(TRIM(C272)),LOWER(TRIM('영어 단어장'!B272))),"",'영어 단어장'!B272))</f>
        <v/>
      </c>
      <c r="E272" s="15" t="str">
        <f>IF(OR(B272="",C272=""),"",IF(EXACT(LOWER(TRIM(C272)),LOWER(TRIM('영어 단어장'!B272))),"⭕","❌"))</f>
        <v/>
      </c>
      <c r="F272" s="12"/>
    </row>
    <row r="273" spans="1:6" ht="21" x14ac:dyDescent="0.4">
      <c r="A273" s="10">
        <f t="shared" si="4"/>
        <v>272</v>
      </c>
      <c r="B273" s="10" t="str">
        <f>IF('영어 단어장'!C273="","",'영어 단어장'!C273)</f>
        <v>가혹한, 거친</v>
      </c>
      <c r="C273" s="11"/>
      <c r="D273" s="21" t="str">
        <f>IF(OR(C273="",'영어 단어장'!B273=""),"",IF(EXACT(LOWER(TRIM(C273)),LOWER(TRIM('영어 단어장'!B273))),"",'영어 단어장'!B273))</f>
        <v/>
      </c>
      <c r="E273" s="15" t="str">
        <f>IF(OR(B273="",C273=""),"",IF(EXACT(LOWER(TRIM(C273)),LOWER(TRIM('영어 단어장'!B273))),"⭕","❌"))</f>
        <v/>
      </c>
      <c r="F273" s="12"/>
    </row>
    <row r="274" spans="1:6" ht="21" x14ac:dyDescent="0.4">
      <c r="A274" s="10">
        <f t="shared" si="4"/>
        <v>273</v>
      </c>
      <c r="B274" s="10" t="str">
        <f>IF('영어 단어장'!C274="","",'영어 단어장'!C274)</f>
        <v>흉터, 자국</v>
      </c>
      <c r="C274" s="11"/>
      <c r="D274" s="21" t="str">
        <f>IF(OR(C274="",'영어 단어장'!B274=""),"",IF(EXACT(LOWER(TRIM(C274)),LOWER(TRIM('영어 단어장'!B274))),"",'영어 단어장'!B274))</f>
        <v/>
      </c>
      <c r="E274" s="15" t="str">
        <f>IF(OR(B274="",C274=""),"",IF(EXACT(LOWER(TRIM(C274)),LOWER(TRIM('영어 단어장'!B274))),"⭕","❌"))</f>
        <v/>
      </c>
      <c r="F274" s="12"/>
    </row>
    <row r="275" spans="1:6" ht="21" x14ac:dyDescent="0.4">
      <c r="A275" s="10">
        <f t="shared" si="4"/>
        <v>274</v>
      </c>
      <c r="B275" s="10" t="str">
        <f>IF('영어 단어장'!C275="","",'영어 단어장'!C275)</f>
        <v>흠없는, 완벽한</v>
      </c>
      <c r="C275" s="11"/>
      <c r="D275" s="21" t="str">
        <f>IF(OR(C275="",'영어 단어장'!B275=""),"",IF(EXACT(LOWER(TRIM(C275)),LOWER(TRIM('영어 단어장'!B275))),"",'영어 단어장'!B275))</f>
        <v/>
      </c>
      <c r="E275" s="15" t="str">
        <f>IF(OR(B275="",C275=""),"",IF(EXACT(LOWER(TRIM(C275)),LOWER(TRIM('영어 단어장'!B275))),"⭕","❌"))</f>
        <v/>
      </c>
      <c r="F275" s="12"/>
    </row>
    <row r="276" spans="1:6" ht="21" x14ac:dyDescent="0.4">
      <c r="A276" s="10">
        <f t="shared" si="4"/>
        <v>275</v>
      </c>
      <c r="B276" s="10" t="str">
        <f>IF('영어 단어장'!C276="","",'영어 단어장'!C276)</f>
        <v>약물, 투약</v>
      </c>
      <c r="C276" s="11"/>
      <c r="D276" s="21" t="str">
        <f>IF(OR(C276="",'영어 단어장'!B276=""),"",IF(EXACT(LOWER(TRIM(C276)),LOWER(TRIM('영어 단어장'!B276))),"",'영어 단어장'!B276))</f>
        <v/>
      </c>
      <c r="E276" s="15" t="str">
        <f>IF(OR(B276="",C276=""),"",IF(EXACT(LOWER(TRIM(C276)),LOWER(TRIM('영어 단어장'!B276))),"⭕","❌"))</f>
        <v/>
      </c>
      <c r="F276" s="12"/>
    </row>
    <row r="277" spans="1:6" ht="21" x14ac:dyDescent="0.4">
      <c r="A277" s="10">
        <f t="shared" si="4"/>
        <v>276</v>
      </c>
      <c r="B277" s="10" t="str">
        <f>IF('영어 단어장'!C277="","",'영어 단어장'!C277)</f>
        <v>수출</v>
      </c>
      <c r="C277" s="11"/>
      <c r="D277" s="21" t="str">
        <f>IF(OR(C277="",'영어 단어장'!B277=""),"",IF(EXACT(LOWER(TRIM(C277)),LOWER(TRIM('영어 단어장'!B277))),"",'영어 단어장'!B277))</f>
        <v/>
      </c>
      <c r="E277" s="15" t="str">
        <f>IF(OR(B277="",C277=""),"",IF(EXACT(LOWER(TRIM(C277)),LOWER(TRIM('영어 단어장'!B277))),"⭕","❌"))</f>
        <v/>
      </c>
      <c r="F277" s="12"/>
    </row>
    <row r="278" spans="1:6" ht="21" x14ac:dyDescent="0.4">
      <c r="A278" s="10">
        <f t="shared" si="4"/>
        <v>277</v>
      </c>
      <c r="B278" s="10" t="str">
        <f>IF('영어 단어장'!C278="","",'영어 단어장'!C278)</f>
        <v>수입</v>
      </c>
      <c r="C278" s="11"/>
      <c r="D278" s="21" t="str">
        <f>IF(OR(C278="",'영어 단어장'!B278=""),"",IF(EXACT(LOWER(TRIM(C278)),LOWER(TRIM('영어 단어장'!B278))),"",'영어 단어장'!B278))</f>
        <v/>
      </c>
      <c r="E278" s="15" t="str">
        <f>IF(OR(B278="",C278=""),"",IF(EXACT(LOWER(TRIM(C278)),LOWER(TRIM('영어 단어장'!B278))),"⭕","❌"))</f>
        <v/>
      </c>
      <c r="F278" s="12"/>
    </row>
    <row r="279" spans="1:6" ht="21" x14ac:dyDescent="0.4">
      <c r="A279" s="10">
        <f t="shared" si="4"/>
        <v>278</v>
      </c>
      <c r="B279" s="10" t="str">
        <f>IF('영어 단어장'!C279="","",'영어 단어장'!C279)</f>
        <v>~할 것 같은</v>
      </c>
      <c r="C279" s="11"/>
      <c r="D279" s="21" t="str">
        <f>IF(OR(C279="",'영어 단어장'!B279=""),"",IF(EXACT(LOWER(TRIM(C279)),LOWER(TRIM('영어 단어장'!B279))),"",'영어 단어장'!B279))</f>
        <v/>
      </c>
      <c r="E279" s="15" t="str">
        <f>IF(OR(B279="",C279=""),"",IF(EXACT(LOWER(TRIM(C279)),LOWER(TRIM('영어 단어장'!B279))),"⭕","❌"))</f>
        <v/>
      </c>
      <c r="F279" s="12"/>
    </row>
    <row r="280" spans="1:6" ht="21" x14ac:dyDescent="0.4">
      <c r="A280" s="10">
        <f t="shared" si="4"/>
        <v>279</v>
      </c>
      <c r="B280" s="10" t="str">
        <f>IF('영어 단어장'!C280="","",'영어 단어장'!C280)</f>
        <v>~할 것 같지 않은</v>
      </c>
      <c r="C280" s="11"/>
      <c r="D280" s="21" t="str">
        <f>IF(OR(C280="",'영어 단어장'!B280=""),"",IF(EXACT(LOWER(TRIM(C280)),LOWER(TRIM('영어 단어장'!B280))),"",'영어 단어장'!B280))</f>
        <v/>
      </c>
      <c r="E280" s="15" t="str">
        <f>IF(OR(B280="",C280=""),"",IF(EXACT(LOWER(TRIM(C280)),LOWER(TRIM('영어 단어장'!B280))),"⭕","❌"))</f>
        <v/>
      </c>
      <c r="F280" s="12"/>
    </row>
    <row r="281" spans="1:6" ht="21" x14ac:dyDescent="0.4">
      <c r="A281" s="10">
        <f t="shared" si="4"/>
        <v>280</v>
      </c>
      <c r="B281" s="10" t="str">
        <f>IF('영어 단어장'!C281="","",'영어 단어장'!C281)</f>
        <v>종</v>
      </c>
      <c r="C281" s="11"/>
      <c r="D281" s="21" t="str">
        <f>IF(OR(C281="",'영어 단어장'!B281=""),"",IF(EXACT(LOWER(TRIM(C281)),LOWER(TRIM('영어 단어장'!B281))),"",'영어 단어장'!B281))</f>
        <v/>
      </c>
      <c r="E281" s="15" t="str">
        <f>IF(OR(B281="",C281=""),"",IF(EXACT(LOWER(TRIM(C281)),LOWER(TRIM('영어 단어장'!B281))),"⭕","❌"))</f>
        <v/>
      </c>
      <c r="F281" s="12"/>
    </row>
    <row r="282" spans="1:6" ht="21" x14ac:dyDescent="0.4">
      <c r="A282" s="10">
        <f t="shared" si="4"/>
        <v>281</v>
      </c>
      <c r="B282" s="10" t="str">
        <f>IF('영어 단어장'!C282="","",'영어 단어장'!C282)</f>
        <v>약간, 좀</v>
      </c>
      <c r="C282" s="11"/>
      <c r="D282" s="21" t="str">
        <f>IF(OR(C282="",'영어 단어장'!B282=""),"",IF(EXACT(LOWER(TRIM(C282)),LOWER(TRIM('영어 단어장'!B282))),"",'영어 단어장'!B282))</f>
        <v/>
      </c>
      <c r="E282" s="15" t="str">
        <f>IF(OR(B282="",C282=""),"",IF(EXACT(LOWER(TRIM(C282)),LOWER(TRIM('영어 단어장'!B282))),"⭕","❌"))</f>
        <v/>
      </c>
      <c r="F282" s="12"/>
    </row>
    <row r="283" spans="1:6" ht="21" x14ac:dyDescent="0.4">
      <c r="A283" s="10">
        <f t="shared" si="4"/>
        <v>282</v>
      </c>
      <c r="B283" s="10" t="str">
        <f>IF('영어 단어장'!C283="","",'영어 단어장'!C283)</f>
        <v>고대의</v>
      </c>
      <c r="C283" s="11"/>
      <c r="D283" s="21" t="str">
        <f>IF(OR(C283="",'영어 단어장'!B283=""),"",IF(EXACT(LOWER(TRIM(C283)),LOWER(TRIM('영어 단어장'!B283))),"",'영어 단어장'!B283))</f>
        <v/>
      </c>
      <c r="E283" s="15" t="str">
        <f>IF(OR(B283="",C283=""),"",IF(EXACT(LOWER(TRIM(C283)),LOWER(TRIM('영어 단어장'!B283))),"⭕","❌"))</f>
        <v/>
      </c>
      <c r="F283" s="12"/>
    </row>
    <row r="284" spans="1:6" ht="21" x14ac:dyDescent="0.4">
      <c r="A284" s="10">
        <f t="shared" si="4"/>
        <v>283</v>
      </c>
      <c r="B284" s="10" t="str">
        <f>IF('영어 단어장'!C284="","",'영어 단어장'!C284)</f>
        <v>주요한</v>
      </c>
      <c r="C284" s="11"/>
      <c r="D284" s="21" t="str">
        <f>IF(OR(C284="",'영어 단어장'!B284=""),"",IF(EXACT(LOWER(TRIM(C284)),LOWER(TRIM('영어 단어장'!B284))),"",'영어 단어장'!B284))</f>
        <v/>
      </c>
      <c r="E284" s="15" t="str">
        <f>IF(OR(B284="",C284=""),"",IF(EXACT(LOWER(TRIM(C284)),LOWER(TRIM('영어 단어장'!B284))),"⭕","❌"))</f>
        <v/>
      </c>
      <c r="F284" s="12"/>
    </row>
    <row r="285" spans="1:6" ht="21" x14ac:dyDescent="0.4">
      <c r="A285" s="10">
        <f t="shared" si="4"/>
        <v>284</v>
      </c>
      <c r="B285" s="10" t="str">
        <f>IF('영어 단어장'!C285="","",'영어 단어장'!C285)</f>
        <v>다수</v>
      </c>
      <c r="C285" s="11"/>
      <c r="D285" s="21" t="str">
        <f>IF(OR(C285="",'영어 단어장'!B285=""),"",IF(EXACT(LOWER(TRIM(C285)),LOWER(TRIM('영어 단어장'!B285))),"",'영어 단어장'!B285))</f>
        <v/>
      </c>
      <c r="E285" s="15" t="str">
        <f>IF(OR(B285="",C285=""),"",IF(EXACT(LOWER(TRIM(C285)),LOWER(TRIM('영어 단어장'!B285))),"⭕","❌"))</f>
        <v/>
      </c>
      <c r="F285" s="12"/>
    </row>
    <row r="286" spans="1:6" ht="21" x14ac:dyDescent="0.4">
      <c r="A286" s="10">
        <f t="shared" si="4"/>
        <v>285</v>
      </c>
      <c r="B286" s="10" t="str">
        <f>IF('영어 단어장'!C286="","",'영어 단어장'!C286)</f>
        <v>알리다, 발표하다</v>
      </c>
      <c r="C286" s="11"/>
      <c r="D286" s="21" t="str">
        <f>IF(OR(C286="",'영어 단어장'!B286=""),"",IF(EXACT(LOWER(TRIM(C286)),LOWER(TRIM('영어 단어장'!B286))),"",'영어 단어장'!B286))</f>
        <v/>
      </c>
      <c r="E286" s="15" t="str">
        <f>IF(OR(B286="",C286=""),"",IF(EXACT(LOWER(TRIM(C286)),LOWER(TRIM('영어 단어장'!B286))),"⭕","❌"))</f>
        <v/>
      </c>
      <c r="F286" s="12"/>
    </row>
    <row r="287" spans="1:6" ht="21" x14ac:dyDescent="0.4">
      <c r="A287" s="10">
        <f t="shared" si="4"/>
        <v>286</v>
      </c>
      <c r="B287" s="10" t="str">
        <f>IF('영어 단어장'!C287="","",'영어 단어장'!C287)</f>
        <v>마땅한</v>
      </c>
      <c r="C287" s="11"/>
      <c r="D287" s="21" t="str">
        <f>IF(OR(C287="",'영어 단어장'!B287=""),"",IF(EXACT(LOWER(TRIM(C287)),LOWER(TRIM('영어 단어장'!B287))),"",'영어 단어장'!B287))</f>
        <v/>
      </c>
      <c r="E287" s="15" t="str">
        <f>IF(OR(B287="",C287=""),"",IF(EXACT(LOWER(TRIM(C287)),LOWER(TRIM('영어 단어장'!B287))),"⭕","❌"))</f>
        <v/>
      </c>
      <c r="F287" s="12"/>
    </row>
    <row r="288" spans="1:6" ht="21" x14ac:dyDescent="0.4">
      <c r="A288" s="10">
        <f t="shared" si="4"/>
        <v>287</v>
      </c>
      <c r="B288" s="10" t="str">
        <f>IF('영어 단어장'!C288="","",'영어 단어장'!C288)</f>
        <v>새로운</v>
      </c>
      <c r="C288" s="11"/>
      <c r="D288" s="21" t="str">
        <f>IF(OR(C288="",'영어 단어장'!B288=""),"",IF(EXACT(LOWER(TRIM(C288)),LOWER(TRIM('영어 단어장'!B288))),"",'영어 단어장'!B288))</f>
        <v/>
      </c>
      <c r="E288" s="15" t="str">
        <f>IF(OR(B288="",C288=""),"",IF(EXACT(LOWER(TRIM(C288)),LOWER(TRIM('영어 단어장'!B288))),"⭕","❌"))</f>
        <v/>
      </c>
      <c r="F288" s="12"/>
    </row>
    <row r="289" spans="1:6" ht="21" x14ac:dyDescent="0.4">
      <c r="A289" s="10">
        <f t="shared" si="4"/>
        <v>288</v>
      </c>
      <c r="B289" s="10" t="str">
        <f>IF('영어 단어장'!C289="","",'영어 단어장'!C289)</f>
        <v>이해력</v>
      </c>
      <c r="C289" s="11"/>
      <c r="D289" s="21" t="str">
        <f>IF(OR(C289="",'영어 단어장'!B289=""),"",IF(EXACT(LOWER(TRIM(C289)),LOWER(TRIM('영어 단어장'!B289))),"",'영어 단어장'!B289))</f>
        <v/>
      </c>
      <c r="E289" s="15" t="str">
        <f>IF(OR(B289="",C289=""),"",IF(EXACT(LOWER(TRIM(C289)),LOWER(TRIM('영어 단어장'!B289))),"⭕","❌"))</f>
        <v/>
      </c>
      <c r="F289" s="12"/>
    </row>
    <row r="290" spans="1:6" ht="21" x14ac:dyDescent="0.4">
      <c r="A290" s="10">
        <f t="shared" si="4"/>
        <v>289</v>
      </c>
      <c r="B290" s="10" t="str">
        <f>IF('영어 단어장'!C290="","",'영어 단어장'!C290)</f>
        <v>포괄적인</v>
      </c>
      <c r="C290" s="11"/>
      <c r="D290" s="21" t="str">
        <f>IF(OR(C290="",'영어 단어장'!B290=""),"",IF(EXACT(LOWER(TRIM(C290)),LOWER(TRIM('영어 단어장'!B290))),"",'영어 단어장'!B290))</f>
        <v/>
      </c>
      <c r="E290" s="15" t="str">
        <f>IF(OR(B290="",C290=""),"",IF(EXACT(LOWER(TRIM(C290)),LOWER(TRIM('영어 단어장'!B290))),"⭕","❌"))</f>
        <v/>
      </c>
      <c r="F290" s="12"/>
    </row>
    <row r="291" spans="1:6" ht="21" x14ac:dyDescent="0.4">
      <c r="A291" s="10">
        <f t="shared" si="4"/>
        <v>290</v>
      </c>
      <c r="B291" s="10" t="str">
        <f>IF('영어 단어장'!C291="","",'영어 단어장'!C291)</f>
        <v>설명하다, 차지하다</v>
      </c>
      <c r="C291" s="11"/>
      <c r="D291" s="21" t="str">
        <f>IF(OR(C291="",'영어 단어장'!B291=""),"",IF(EXACT(LOWER(TRIM(C291)),LOWER(TRIM('영어 단어장'!B291))),"",'영어 단어장'!B291))</f>
        <v/>
      </c>
      <c r="E291" s="15" t="str">
        <f>IF(OR(B291="",C291=""),"",IF(EXACT(LOWER(TRIM(C291)),LOWER(TRIM('영어 단어장'!B291))),"⭕","❌"))</f>
        <v/>
      </c>
      <c r="F291" s="12"/>
    </row>
    <row r="292" spans="1:6" ht="21" x14ac:dyDescent="0.4">
      <c r="A292" s="10">
        <f t="shared" si="4"/>
        <v>291</v>
      </c>
      <c r="B292" s="10" t="str">
        <f>IF('영어 단어장'!C292="","",'영어 단어장'!C292)</f>
        <v>감각</v>
      </c>
      <c r="C292" s="11"/>
      <c r="D292" s="21" t="str">
        <f>IF(OR(C292="",'영어 단어장'!B292=""),"",IF(EXACT(LOWER(TRIM(C292)),LOWER(TRIM('영어 단어장'!B292))),"",'영어 단어장'!B292))</f>
        <v/>
      </c>
      <c r="E292" s="15" t="str">
        <f>IF(OR(B292="",C292=""),"",IF(EXACT(LOWER(TRIM(C292)),LOWER(TRIM('영어 단어장'!B292))),"⭕","❌"))</f>
        <v/>
      </c>
      <c r="F292" s="12"/>
    </row>
    <row r="293" spans="1:6" ht="21" x14ac:dyDescent="0.4">
      <c r="A293" s="10">
        <f t="shared" si="4"/>
        <v>292</v>
      </c>
      <c r="B293" s="10" t="str">
        <f>IF('영어 단어장'!C293="","",'영어 단어장'!C293)</f>
        <v>부족</v>
      </c>
      <c r="C293" s="11"/>
      <c r="D293" s="21" t="str">
        <f>IF(OR(C293="",'영어 단어장'!B293=""),"",IF(EXACT(LOWER(TRIM(C293)),LOWER(TRIM('영어 단어장'!B293))),"",'영어 단어장'!B293))</f>
        <v/>
      </c>
      <c r="E293" s="15" t="str">
        <f>IF(OR(B293="",C293=""),"",IF(EXACT(LOWER(TRIM(C293)),LOWER(TRIM('영어 단어장'!B293))),"⭕","❌"))</f>
        <v/>
      </c>
      <c r="F293" s="12"/>
    </row>
    <row r="294" spans="1:6" ht="21" x14ac:dyDescent="0.4">
      <c r="A294" s="10">
        <f t="shared" si="4"/>
        <v>293</v>
      </c>
      <c r="B294" s="10" t="str">
        <f>IF('영어 단어장'!C294="","",'영어 단어장'!C294)</f>
        <v>~동안 쭉, 내내</v>
      </c>
      <c r="C294" s="11"/>
      <c r="D294" s="21" t="str">
        <f>IF(OR(C294="",'영어 단어장'!B294=""),"",IF(EXACT(LOWER(TRIM(C294)),LOWER(TRIM('영어 단어장'!B294))),"",'영어 단어장'!B294))</f>
        <v/>
      </c>
      <c r="E294" s="15" t="str">
        <f>IF(OR(B294="",C294=""),"",IF(EXACT(LOWER(TRIM(C294)),LOWER(TRIM('영어 단어장'!B294))),"⭕","❌"))</f>
        <v/>
      </c>
      <c r="F294" s="12"/>
    </row>
    <row r="295" spans="1:6" ht="21" x14ac:dyDescent="0.4">
      <c r="A295" s="10">
        <f t="shared" si="4"/>
        <v>294</v>
      </c>
      <c r="B295" s="10" t="str">
        <f>IF('영어 단어장'!C295="","",'영어 단어장'!C295)</f>
        <v>~위에</v>
      </c>
      <c r="C295" s="11"/>
      <c r="D295" s="21" t="str">
        <f>IF(OR(C295="",'영어 단어장'!B295=""),"",IF(EXACT(LOWER(TRIM(C295)),LOWER(TRIM('영어 단어장'!B295))),"",'영어 단어장'!B295))</f>
        <v/>
      </c>
      <c r="E295" s="15" t="str">
        <f>IF(OR(B295="",C295=""),"",IF(EXACT(LOWER(TRIM(C295)),LOWER(TRIM('영어 단어장'!B295))),"⭕","❌"))</f>
        <v/>
      </c>
      <c r="F295" s="12"/>
    </row>
    <row r="296" spans="1:6" ht="21" x14ac:dyDescent="0.4">
      <c r="A296" s="10">
        <f t="shared" si="4"/>
        <v>295</v>
      </c>
      <c r="B296" s="10" t="str">
        <f>IF('영어 단어장'!C296="","",'영어 단어장'!C296)</f>
        <v>~에 독특한</v>
      </c>
      <c r="C296" s="11"/>
      <c r="D296" s="21" t="str">
        <f>IF(OR(C296="",'영어 단어장'!B296=""),"",IF(EXACT(LOWER(TRIM(C296)),LOWER(TRIM('영어 단어장'!B296))),"",'영어 단어장'!B296))</f>
        <v/>
      </c>
      <c r="E296" s="15" t="str">
        <f>IF(OR(B296="",C296=""),"",IF(EXACT(LOWER(TRIM(C296)),LOWER(TRIM('영어 단어장'!B296))),"⭕","❌"))</f>
        <v/>
      </c>
      <c r="F296" s="12"/>
    </row>
    <row r="297" spans="1:6" ht="21" x14ac:dyDescent="0.4">
      <c r="A297" s="10">
        <f t="shared" si="4"/>
        <v>296</v>
      </c>
      <c r="B297" s="10" t="str">
        <f>IF('영어 단어장'!C297="","",'영어 단어장'!C297)</f>
        <v>더 멀리에</v>
      </c>
      <c r="C297" s="11"/>
      <c r="D297" s="21" t="str">
        <f>IF(OR(C297="",'영어 단어장'!B297=""),"",IF(EXACT(LOWER(TRIM(C297)),LOWER(TRIM('영어 단어장'!B297))),"",'영어 단어장'!B297))</f>
        <v/>
      </c>
      <c r="E297" s="15" t="str">
        <f>IF(OR(B297="",C297=""),"",IF(EXACT(LOWER(TRIM(C297)),LOWER(TRIM('영어 단어장'!B297))),"⭕","❌"))</f>
        <v/>
      </c>
      <c r="F297" s="12"/>
    </row>
    <row r="298" spans="1:6" ht="21" x14ac:dyDescent="0.4">
      <c r="A298" s="10">
        <f t="shared" si="4"/>
        <v>297</v>
      </c>
      <c r="B298" s="10" t="str">
        <f>IF('영어 단어장'!C298="","",'영어 단어장'!C298)</f>
        <v>종교의</v>
      </c>
      <c r="C298" s="11"/>
      <c r="D298" s="21" t="str">
        <f>IF(OR(C298="",'영어 단어장'!B298=""),"",IF(EXACT(LOWER(TRIM(C298)),LOWER(TRIM('영어 단어장'!B298))),"",'영어 단어장'!B298))</f>
        <v/>
      </c>
      <c r="E298" s="15" t="str">
        <f>IF(OR(B298="",C298=""),"",IF(EXACT(LOWER(TRIM(C298)),LOWER(TRIM('영어 단어장'!B298))),"⭕","❌"))</f>
        <v/>
      </c>
      <c r="F298" s="12"/>
    </row>
    <row r="299" spans="1:6" ht="21" x14ac:dyDescent="0.4">
      <c r="A299" s="10">
        <f t="shared" si="4"/>
        <v>298</v>
      </c>
      <c r="B299" s="10" t="str">
        <f>IF('영어 단어장'!C299="","",'영어 단어장'!C299)</f>
        <v>변명, 용서하다</v>
      </c>
      <c r="C299" s="11"/>
      <c r="D299" s="21" t="str">
        <f>IF(OR(C299="",'영어 단어장'!B299=""),"",IF(EXACT(LOWER(TRIM(C299)),LOWER(TRIM('영어 단어장'!B299))),"",'영어 단어장'!B299))</f>
        <v/>
      </c>
      <c r="E299" s="15" t="str">
        <f>IF(OR(B299="",C299=""),"",IF(EXACT(LOWER(TRIM(C299)),LOWER(TRIM('영어 단어장'!B299))),"⭕","❌"))</f>
        <v/>
      </c>
      <c r="F299" s="12"/>
    </row>
    <row r="300" spans="1:6" ht="21" x14ac:dyDescent="0.4">
      <c r="A300" s="10">
        <f t="shared" si="4"/>
        <v>299</v>
      </c>
      <c r="B300" s="10" t="str">
        <f>IF('영어 단어장'!C300="","",'영어 단어장'!C300)</f>
        <v>수십년</v>
      </c>
      <c r="C300" s="11"/>
      <c r="D300" s="21" t="str">
        <f>IF(OR(C300="",'영어 단어장'!B300=""),"",IF(EXACT(LOWER(TRIM(C300)),LOWER(TRIM('영어 단어장'!B300))),"",'영어 단어장'!B300))</f>
        <v/>
      </c>
      <c r="E300" s="15" t="str">
        <f>IF(OR(B300="",C300=""),"",IF(EXACT(LOWER(TRIM(C300)),LOWER(TRIM('영어 단어장'!B300))),"⭕","❌"))</f>
        <v/>
      </c>
      <c r="F300" s="12"/>
    </row>
    <row r="301" spans="1:6" ht="21" x14ac:dyDescent="0.4">
      <c r="A301" s="10">
        <f t="shared" si="4"/>
        <v>300</v>
      </c>
      <c r="B301" s="10" t="str">
        <f>IF('영어 단어장'!C301="","",'영어 단어장'!C301)</f>
        <v>전체의</v>
      </c>
      <c r="C301" s="11"/>
      <c r="D301" s="21" t="str">
        <f>IF(OR(C301="",'영어 단어장'!B301=""),"",IF(EXACT(LOWER(TRIM(C301)),LOWER(TRIM('영어 단어장'!B301))),"",'영어 단어장'!B301))</f>
        <v/>
      </c>
      <c r="E301" s="15" t="str">
        <f>IF(OR(B301="",C301=""),"",IF(EXACT(LOWER(TRIM(C301)),LOWER(TRIM('영어 단어장'!B301))),"⭕","❌"))</f>
        <v/>
      </c>
      <c r="F301" s="12"/>
    </row>
    <row r="302" spans="1:6" ht="21" x14ac:dyDescent="0.4">
      <c r="A302" s="10">
        <f t="shared" si="4"/>
        <v>301</v>
      </c>
      <c r="B302" s="10" t="str">
        <f>IF('영어 단어장'!C302="","",'영어 단어장'!C302)</f>
        <v>결과</v>
      </c>
      <c r="C302" s="11"/>
      <c r="D302" s="21" t="str">
        <f>IF(OR(C302="",'영어 단어장'!B302=""),"",IF(EXACT(LOWER(TRIM(C302)),LOWER(TRIM('영어 단어장'!B302))),"",'영어 단어장'!B302))</f>
        <v/>
      </c>
      <c r="E302" s="15" t="str">
        <f>IF(OR(B302="",C302=""),"",IF(EXACT(LOWER(TRIM(C302)),LOWER(TRIM('영어 단어장'!B302))),"⭕","❌"))</f>
        <v/>
      </c>
      <c r="F302" s="12"/>
    </row>
    <row r="303" spans="1:6" ht="21" x14ac:dyDescent="0.4">
      <c r="A303" s="10">
        <f t="shared" si="4"/>
        <v>302</v>
      </c>
      <c r="B303" s="10" t="str">
        <f>IF('영어 단어장'!C303="","",'영어 단어장'!C303)</f>
        <v>노동, 근로</v>
      </c>
      <c r="C303" s="11"/>
      <c r="D303" s="21" t="str">
        <f>IF(OR(C303="",'영어 단어장'!B303=""),"",IF(EXACT(LOWER(TRIM(C303)),LOWER(TRIM('영어 단어장'!B303))),"",'영어 단어장'!B303))</f>
        <v/>
      </c>
      <c r="E303" s="15" t="str">
        <f>IF(OR(B303="",C303=""),"",IF(EXACT(LOWER(TRIM(C303)),LOWER(TRIM('영어 단어장'!B303))),"⭕","❌"))</f>
        <v/>
      </c>
      <c r="F303" s="12"/>
    </row>
    <row r="304" spans="1:6" ht="21" x14ac:dyDescent="0.4">
      <c r="A304" s="10">
        <f t="shared" si="4"/>
        <v>303</v>
      </c>
      <c r="B304" s="10" t="str">
        <f>IF('영어 단어장'!C304="","",'영어 단어장'!C304)</f>
        <v>시장</v>
      </c>
      <c r="C304" s="11"/>
      <c r="D304" s="21" t="str">
        <f>IF(OR(C304="",'영어 단어장'!B304=""),"",IF(EXACT(LOWER(TRIM(C304)),LOWER(TRIM('영어 단어장'!B304))),"",'영어 단어장'!B304))</f>
        <v/>
      </c>
      <c r="E304" s="15" t="str">
        <f>IF(OR(B304="",C304=""),"",IF(EXACT(LOWER(TRIM(C304)),LOWER(TRIM('영어 단어장'!B304))),"⭕","❌"))</f>
        <v/>
      </c>
      <c r="F304" s="12"/>
    </row>
    <row r="305" spans="1:6" ht="21" x14ac:dyDescent="0.4">
      <c r="A305" s="10">
        <f t="shared" si="4"/>
        <v>304</v>
      </c>
      <c r="B305" s="10" t="str">
        <f>IF('영어 단어장'!C305="","",'영어 단어장'!C305)</f>
        <v>사전의</v>
      </c>
      <c r="C305" s="11"/>
      <c r="D305" s="21" t="str">
        <f>IF(OR(C305="",'영어 단어장'!B305=""),"",IF(EXACT(LOWER(TRIM(C305)),LOWER(TRIM('영어 단어장'!B305))),"",'영어 단어장'!B305))</f>
        <v/>
      </c>
      <c r="E305" s="15" t="str">
        <f>IF(OR(B305="",C305=""),"",IF(EXACT(LOWER(TRIM(C305)),LOWER(TRIM('영어 단어장'!B305))),"⭕","❌"))</f>
        <v/>
      </c>
      <c r="F305" s="12"/>
    </row>
    <row r="306" spans="1:6" ht="21" x14ac:dyDescent="0.4">
      <c r="A306" s="10">
        <f t="shared" si="4"/>
        <v>305</v>
      </c>
      <c r="B306" s="10" t="str">
        <f>IF('영어 단어장'!C306="","",'영어 단어장'!C306)</f>
        <v>우선 사항</v>
      </c>
      <c r="C306" s="11"/>
      <c r="D306" s="21" t="str">
        <f>IF(OR(C306="",'영어 단어장'!B306=""),"",IF(EXACT(LOWER(TRIM(C306)),LOWER(TRIM('영어 단어장'!B306))),"",'영어 단어장'!B306))</f>
        <v/>
      </c>
      <c r="E306" s="15" t="str">
        <f>IF(OR(B306="",C306=""),"",IF(EXACT(LOWER(TRIM(C306)),LOWER(TRIM('영어 단어장'!B306))),"⭕","❌"))</f>
        <v/>
      </c>
      <c r="F306" s="12"/>
    </row>
    <row r="307" spans="1:6" ht="21" x14ac:dyDescent="0.4">
      <c r="A307" s="10">
        <f t="shared" si="4"/>
        <v>306</v>
      </c>
      <c r="B307" s="10" t="str">
        <f>IF('영어 단어장'!C307="","",'영어 단어장'!C307)</f>
        <v>수수료</v>
      </c>
      <c r="C307" s="11"/>
      <c r="D307" s="21" t="str">
        <f>IF(OR(C307="",'영어 단어장'!B307=""),"",IF(EXACT(LOWER(TRIM(C307)),LOWER(TRIM('영어 단어장'!B307))),"",'영어 단어장'!B307))</f>
        <v/>
      </c>
      <c r="E307" s="15" t="str">
        <f>IF(OR(B307="",C307=""),"",IF(EXACT(LOWER(TRIM(C307)),LOWER(TRIM('영어 단어장'!B307))),"⭕","❌"))</f>
        <v/>
      </c>
      <c r="F307" s="12"/>
    </row>
    <row r="308" spans="1:6" ht="21" x14ac:dyDescent="0.4">
      <c r="A308" s="10">
        <f t="shared" si="4"/>
        <v>307</v>
      </c>
      <c r="B308" s="10" t="str">
        <f>IF('영어 단어장'!C308="","",'영어 단어장'!C308)</f>
        <v>계산서</v>
      </c>
      <c r="C308" s="11"/>
      <c r="D308" s="21" t="str">
        <f>IF(OR(C308="",'영어 단어장'!B308=""),"",IF(EXACT(LOWER(TRIM(C308)),LOWER(TRIM('영어 단어장'!B308))),"",'영어 단어장'!B308))</f>
        <v/>
      </c>
      <c r="E308" s="15" t="str">
        <f>IF(OR(B308="",C308=""),"",IF(EXACT(LOWER(TRIM(C308)),LOWER(TRIM('영어 단어장'!B308))),"⭕","❌"))</f>
        <v/>
      </c>
      <c r="F308" s="12"/>
    </row>
    <row r="309" spans="1:6" ht="21" x14ac:dyDescent="0.4">
      <c r="A309" s="10">
        <f t="shared" si="4"/>
        <v>308</v>
      </c>
      <c r="B309" s="10" t="str">
        <f>IF('영어 단어장'!C309="","",'영어 단어장'!C309)</f>
        <v>많은 수의+(복수명사+복수동사)</v>
      </c>
      <c r="C309" s="11"/>
      <c r="D309" s="21" t="str">
        <f>IF(OR(C309="",'영어 단어장'!B309=""),"",IF(EXACT(LOWER(TRIM(C309)),LOWER(TRIM('영어 단어장'!B309))),"",'영어 단어장'!B309))</f>
        <v/>
      </c>
      <c r="E309" s="15" t="str">
        <f>IF(OR(B309="",C309=""),"",IF(EXACT(LOWER(TRIM(C309)),LOWER(TRIM('영어 단어장'!B309))),"⭕","❌"))</f>
        <v/>
      </c>
      <c r="F309" s="12"/>
    </row>
    <row r="310" spans="1:6" ht="21" x14ac:dyDescent="0.4">
      <c r="A310" s="10">
        <f t="shared" si="4"/>
        <v>309</v>
      </c>
      <c r="B310" s="10" t="str">
        <f>IF('영어 단어장'!C310="","",'영어 단어장'!C310)</f>
        <v>~의 수+(복수명사+단수동사)</v>
      </c>
      <c r="C310" s="11"/>
      <c r="D310" s="21" t="str">
        <f>IF(OR(C310="",'영어 단어장'!B310=""),"",IF(EXACT(LOWER(TRIM(C310)),LOWER(TRIM('영어 단어장'!B310))),"",'영어 단어장'!B310))</f>
        <v/>
      </c>
      <c r="E310" s="15" t="str">
        <f>IF(OR(B310="",C310=""),"",IF(EXACT(LOWER(TRIM(C310)),LOWER(TRIM('영어 단어장'!B310))),"⭕","❌"))</f>
        <v/>
      </c>
      <c r="F310" s="12"/>
    </row>
    <row r="311" spans="1:6" ht="21" x14ac:dyDescent="0.4">
      <c r="A311" s="10">
        <f t="shared" si="4"/>
        <v>310</v>
      </c>
      <c r="B311" s="10" t="str">
        <f>IF('영어 단어장'!C311="","",'영어 단어장'!C311)</f>
        <v>강요하다</v>
      </c>
      <c r="C311" s="11"/>
      <c r="D311" s="21" t="str">
        <f>IF(OR(C311="",'영어 단어장'!B311=""),"",IF(EXACT(LOWER(TRIM(C311)),LOWER(TRIM('영어 단어장'!B311))),"",'영어 단어장'!B311))</f>
        <v/>
      </c>
      <c r="E311" s="15" t="str">
        <f>IF(OR(B311="",C311=""),"",IF(EXACT(LOWER(TRIM(C311)),LOWER(TRIM('영어 단어장'!B311))),"⭕","❌"))</f>
        <v/>
      </c>
      <c r="F311" s="12"/>
    </row>
    <row r="312" spans="1:6" ht="21" x14ac:dyDescent="0.4">
      <c r="A312" s="10">
        <f t="shared" si="4"/>
        <v>311</v>
      </c>
      <c r="B312" s="10" t="str">
        <f>IF('영어 단어장'!C312="","",'영어 단어장'!C312)</f>
        <v>판단하다</v>
      </c>
      <c r="C312" s="11"/>
      <c r="D312" s="21" t="str">
        <f>IF(OR(C312="",'영어 단어장'!B312=""),"",IF(EXACT(LOWER(TRIM(C312)),LOWER(TRIM('영어 단어장'!B312))),"",'영어 단어장'!B312))</f>
        <v/>
      </c>
      <c r="E312" s="15" t="str">
        <f>IF(OR(B312="",C312=""),"",IF(EXACT(LOWER(TRIM(C312)),LOWER(TRIM('영어 단어장'!B312))),"⭕","❌"))</f>
        <v/>
      </c>
      <c r="F312" s="12"/>
    </row>
    <row r="313" spans="1:6" ht="21" x14ac:dyDescent="0.4">
      <c r="A313" s="10">
        <f t="shared" si="4"/>
        <v>312</v>
      </c>
      <c r="B313" s="10" t="str">
        <f>IF('영어 단어장'!C313="","",'영어 단어장'!C313)</f>
        <v>유행</v>
      </c>
      <c r="C313" s="11"/>
      <c r="D313" s="21" t="str">
        <f>IF(OR(C313="",'영어 단어장'!B313=""),"",IF(EXACT(LOWER(TRIM(C313)),LOWER(TRIM('영어 단어장'!B313))),"",'영어 단어장'!B313))</f>
        <v/>
      </c>
      <c r="E313" s="15" t="str">
        <f>IF(OR(B313="",C313=""),"",IF(EXACT(LOWER(TRIM(C313)),LOWER(TRIM('영어 단어장'!B313))),"⭕","❌"))</f>
        <v/>
      </c>
      <c r="F313" s="12"/>
    </row>
    <row r="314" spans="1:6" ht="21" x14ac:dyDescent="0.4">
      <c r="A314" s="10">
        <f t="shared" si="4"/>
        <v>313</v>
      </c>
      <c r="B314" s="10" t="str">
        <f>IF('영어 단어장'!C314="","",'영어 단어장'!C314)</f>
        <v>분투하다</v>
      </c>
      <c r="C314" s="11"/>
      <c r="D314" s="21" t="str">
        <f>IF(OR(C314="",'영어 단어장'!B314=""),"",IF(EXACT(LOWER(TRIM(C314)),LOWER(TRIM('영어 단어장'!B314))),"",'영어 단어장'!B314))</f>
        <v/>
      </c>
      <c r="E314" s="15" t="str">
        <f>IF(OR(B314="",C314=""),"",IF(EXACT(LOWER(TRIM(C314)),LOWER(TRIM('영어 단어장'!B314))),"⭕","❌"))</f>
        <v/>
      </c>
      <c r="F314" s="12"/>
    </row>
    <row r="315" spans="1:6" ht="21" x14ac:dyDescent="0.4">
      <c r="A315" s="10">
        <f t="shared" si="4"/>
        <v>314</v>
      </c>
      <c r="B315" s="10" t="str">
        <f>IF('영어 단어장'!C315="","",'영어 단어장'!C315)</f>
        <v>최첨단의</v>
      </c>
      <c r="C315" s="11"/>
      <c r="D315" s="21" t="str">
        <f>IF(OR(C315="",'영어 단어장'!B315=""),"",IF(EXACT(LOWER(TRIM(C315)),LOWER(TRIM('영어 단어장'!B315))),"",'영어 단어장'!B315))</f>
        <v/>
      </c>
      <c r="E315" s="15" t="str">
        <f>IF(OR(B315="",C315=""),"",IF(EXACT(LOWER(TRIM(C315)),LOWER(TRIM('영어 단어장'!B315))),"⭕","❌"))</f>
        <v/>
      </c>
      <c r="F315" s="12"/>
    </row>
    <row r="316" spans="1:6" ht="21" x14ac:dyDescent="0.4">
      <c r="A316" s="10">
        <f t="shared" si="4"/>
        <v>315</v>
      </c>
      <c r="B316" s="10" t="str">
        <f>IF('영어 단어장'!C316="","",'영어 단어장'!C316)</f>
        <v>투명한</v>
      </c>
      <c r="C316" s="11"/>
      <c r="D316" s="21" t="str">
        <f>IF(OR(C316="",'영어 단어장'!B316=""),"",IF(EXACT(LOWER(TRIM(C316)),LOWER(TRIM('영어 단어장'!B316))),"",'영어 단어장'!B316))</f>
        <v/>
      </c>
      <c r="E316" s="15" t="str">
        <f>IF(OR(B316="",C316=""),"",IF(EXACT(LOWER(TRIM(C316)),LOWER(TRIM('영어 단어장'!B316))),"⭕","❌"))</f>
        <v/>
      </c>
      <c r="F316" s="12"/>
    </row>
    <row r="317" spans="1:6" ht="21" x14ac:dyDescent="0.4">
      <c r="A317" s="10">
        <f t="shared" si="4"/>
        <v>316</v>
      </c>
      <c r="B317" s="10" t="str">
        <f>IF('영어 단어장'!C317="","",'영어 단어장'!C317)</f>
        <v>신기함</v>
      </c>
      <c r="C317" s="11"/>
      <c r="D317" s="21" t="str">
        <f>IF(OR(C317="",'영어 단어장'!B317=""),"",IF(EXACT(LOWER(TRIM(C317)),LOWER(TRIM('영어 단어장'!B317))),"",'영어 단어장'!B317))</f>
        <v/>
      </c>
      <c r="E317" s="15" t="str">
        <f>IF(OR(B317="",C317=""),"",IF(EXACT(LOWER(TRIM(C317)),LOWER(TRIM('영어 단어장'!B317))),"⭕","❌"))</f>
        <v/>
      </c>
      <c r="F317" s="12"/>
    </row>
    <row r="318" spans="1:6" ht="21" x14ac:dyDescent="0.4">
      <c r="A318" s="10">
        <f t="shared" si="4"/>
        <v>317</v>
      </c>
      <c r="B318" s="10" t="str">
        <f>IF('영어 단어장'!C318="","",'영어 단어장'!C318)</f>
        <v>만남</v>
      </c>
      <c r="C318" s="11"/>
      <c r="D318" s="21" t="str">
        <f>IF(OR(C318="",'영어 단어장'!B318=""),"",IF(EXACT(LOWER(TRIM(C318)),LOWER(TRIM('영어 단어장'!B318))),"",'영어 단어장'!B318))</f>
        <v/>
      </c>
      <c r="E318" s="15" t="str">
        <f>IF(OR(B318="",C318=""),"",IF(EXACT(LOWER(TRIM(C318)),LOWER(TRIM('영어 단어장'!B318))),"⭕","❌"))</f>
        <v/>
      </c>
      <c r="F318" s="12"/>
    </row>
    <row r="319" spans="1:6" ht="21" x14ac:dyDescent="0.4">
      <c r="A319" s="10">
        <f t="shared" si="4"/>
        <v>318</v>
      </c>
      <c r="B319" s="10" t="str">
        <f>IF('영어 단어장'!C319="","",'영어 단어장'!C319)</f>
        <v>바꾸다</v>
      </c>
      <c r="C319" s="11"/>
      <c r="D319" s="21" t="str">
        <f>IF(OR(C319="",'영어 단어장'!B319=""),"",IF(EXACT(LOWER(TRIM(C319)),LOWER(TRIM('영어 단어장'!B319))),"",'영어 단어장'!B319))</f>
        <v/>
      </c>
      <c r="E319" s="15" t="str">
        <f>IF(OR(B319="",C319=""),"",IF(EXACT(LOWER(TRIM(C319)),LOWER(TRIM('영어 단어장'!B319))),"⭕","❌"))</f>
        <v/>
      </c>
      <c r="F319" s="12"/>
    </row>
    <row r="320" spans="1:6" ht="21" x14ac:dyDescent="0.4">
      <c r="A320" s="10">
        <f t="shared" si="4"/>
        <v>319</v>
      </c>
      <c r="B320" s="10" t="str">
        <f>IF('영어 단어장'!C320="","",'영어 단어장'!C320)</f>
        <v>첫번째의</v>
      </c>
      <c r="C320" s="11"/>
      <c r="D320" s="21" t="str">
        <f>IF(OR(C320="",'영어 단어장'!B320=""),"",IF(EXACT(LOWER(TRIM(C320)),LOWER(TRIM('영어 단어장'!B320))),"",'영어 단어장'!B320))</f>
        <v/>
      </c>
      <c r="E320" s="15" t="str">
        <f>IF(OR(B320="",C320=""),"",IF(EXACT(LOWER(TRIM(C320)),LOWER(TRIM('영어 단어장'!B320))),"⭕","❌"))</f>
        <v/>
      </c>
      <c r="F320" s="12"/>
    </row>
    <row r="321" spans="1:6" ht="21" x14ac:dyDescent="0.4">
      <c r="A321" s="10">
        <f t="shared" si="4"/>
        <v>320</v>
      </c>
      <c r="B321" s="10" t="str">
        <f>IF('영어 단어장'!C321="","",'영어 단어장'!C321)</f>
        <v>우아한, 정중한</v>
      </c>
      <c r="C321" s="11"/>
      <c r="D321" s="21" t="str">
        <f>IF(OR(C321="",'영어 단어장'!B321=""),"",IF(EXACT(LOWER(TRIM(C321)),LOWER(TRIM('영어 단어장'!B321))),"",'영어 단어장'!B321))</f>
        <v/>
      </c>
      <c r="E321" s="15" t="str">
        <f>IF(OR(B321="",C321=""),"",IF(EXACT(LOWER(TRIM(C321)),LOWER(TRIM('영어 단어장'!B321))),"⭕","❌"))</f>
        <v/>
      </c>
      <c r="F321" s="12"/>
    </row>
    <row r="322" spans="1:6" ht="21" x14ac:dyDescent="0.4">
      <c r="A322" s="10">
        <f t="shared" si="4"/>
        <v>321</v>
      </c>
      <c r="B322" s="10" t="str">
        <f>IF('영어 단어장'!C322="","",'영어 단어장'!C322)</f>
        <v>모호한</v>
      </c>
      <c r="C322" s="11"/>
      <c r="D322" s="21" t="str">
        <f>IF(OR(C322="",'영어 단어장'!B322=""),"",IF(EXACT(LOWER(TRIM(C322)),LOWER(TRIM('영어 단어장'!B322))),"",'영어 단어장'!B322))</f>
        <v/>
      </c>
      <c r="E322" s="15" t="str">
        <f>IF(OR(B322="",C322=""),"",IF(EXACT(LOWER(TRIM(C322)),LOWER(TRIM('영어 단어장'!B322))),"⭕","❌"))</f>
        <v/>
      </c>
      <c r="F322" s="12"/>
    </row>
    <row r="323" spans="1:6" ht="21" x14ac:dyDescent="0.4">
      <c r="A323" s="10">
        <f t="shared" ref="A323:A386" si="5">ROW()-1</f>
        <v>322</v>
      </c>
      <c r="B323" s="10" t="str">
        <f>IF('영어 단어장'!C323="","",'영어 단어장'!C323)</f>
        <v>찬사, 호평</v>
      </c>
      <c r="C323" s="11"/>
      <c r="D323" s="21" t="str">
        <f>IF(OR(C323="",'영어 단어장'!B323=""),"",IF(EXACT(LOWER(TRIM(C323)),LOWER(TRIM('영어 단어장'!B323))),"",'영어 단어장'!B323))</f>
        <v/>
      </c>
      <c r="E323" s="15" t="str">
        <f>IF(OR(B323="",C323=""),"",IF(EXACT(LOWER(TRIM(C323)),LOWER(TRIM('영어 단어장'!B323))),"⭕","❌"))</f>
        <v/>
      </c>
      <c r="F323" s="12"/>
    </row>
    <row r="324" spans="1:6" ht="21" x14ac:dyDescent="0.4">
      <c r="A324" s="10">
        <f t="shared" si="5"/>
        <v>323</v>
      </c>
      <c r="B324" s="10" t="str">
        <f>IF('영어 단어장'!C324="","",'영어 단어장'!C324)</f>
        <v>각색</v>
      </c>
      <c r="C324" s="11"/>
      <c r="D324" s="21" t="str">
        <f>IF(OR(C324="",'영어 단어장'!B324=""),"",IF(EXACT(LOWER(TRIM(C324)),LOWER(TRIM('영어 단어장'!B324))),"",'영어 단어장'!B324))</f>
        <v/>
      </c>
      <c r="E324" s="15" t="str">
        <f>IF(OR(B324="",C324=""),"",IF(EXACT(LOWER(TRIM(C324)),LOWER(TRIM('영어 단어장'!B324))),"⭕","❌"))</f>
        <v/>
      </c>
      <c r="F324" s="12"/>
    </row>
    <row r="325" spans="1:6" ht="21" x14ac:dyDescent="0.4">
      <c r="A325" s="10">
        <f t="shared" si="5"/>
        <v>324</v>
      </c>
      <c r="B325" s="10" t="str">
        <f>IF('영어 단어장'!C325="","",'영어 단어장'!C325)</f>
        <v>겸손한</v>
      </c>
      <c r="C325" s="11"/>
      <c r="D325" s="21" t="str">
        <f>IF(OR(C325="",'영어 단어장'!B325=""),"",IF(EXACT(LOWER(TRIM(C325)),LOWER(TRIM('영어 단어장'!B325))),"",'영어 단어장'!B325))</f>
        <v/>
      </c>
      <c r="E325" s="15" t="str">
        <f>IF(OR(B325="",C325=""),"",IF(EXACT(LOWER(TRIM(C325)),LOWER(TRIM('영어 단어장'!B325))),"⭕","❌"))</f>
        <v/>
      </c>
      <c r="F325" s="12"/>
    </row>
    <row r="326" spans="1:6" ht="21" x14ac:dyDescent="0.4">
      <c r="A326" s="10">
        <f t="shared" si="5"/>
        <v>325</v>
      </c>
      <c r="B326" s="10" t="str">
        <f>IF('영어 단어장'!C326="","",'영어 단어장'!C326)</f>
        <v>증거, 입증</v>
      </c>
      <c r="C326" s="11"/>
      <c r="D326" s="21" t="str">
        <f>IF(OR(C326="",'영어 단어장'!B326=""),"",IF(EXACT(LOWER(TRIM(C326)),LOWER(TRIM('영어 단어장'!B326))),"",'영어 단어장'!B326))</f>
        <v/>
      </c>
      <c r="E326" s="15" t="str">
        <f>IF(OR(B326="",C326=""),"",IF(EXACT(LOWER(TRIM(C326)),LOWER(TRIM('영어 단어장'!B326))),"⭕","❌"))</f>
        <v/>
      </c>
      <c r="F326" s="12"/>
    </row>
    <row r="327" spans="1:6" ht="21" x14ac:dyDescent="0.4">
      <c r="A327" s="10">
        <f t="shared" si="5"/>
        <v>326</v>
      </c>
      <c r="B327" s="10" t="str">
        <f>IF('영어 단어장'!C327="","",'영어 단어장'!C327)</f>
        <v>평가</v>
      </c>
      <c r="C327" s="11"/>
      <c r="D327" s="21" t="str">
        <f>IF(OR(C327="",'영어 단어장'!B327=""),"",IF(EXACT(LOWER(TRIM(C327)),LOWER(TRIM('영어 단어장'!B327))),"",'영어 단어장'!B327))</f>
        <v/>
      </c>
      <c r="E327" s="15" t="str">
        <f>IF(OR(B327="",C327=""),"",IF(EXACT(LOWER(TRIM(C327)),LOWER(TRIM('영어 단어장'!B327))),"⭕","❌"))</f>
        <v/>
      </c>
      <c r="F327" s="12"/>
    </row>
    <row r="328" spans="1:6" ht="21" x14ac:dyDescent="0.4">
      <c r="A328" s="10">
        <f t="shared" si="5"/>
        <v>327</v>
      </c>
      <c r="B328" s="10" t="str">
        <f>IF('영어 단어장'!C328="","",'영어 단어장'!C328)</f>
        <v>자격, 마땅히</v>
      </c>
      <c r="C328" s="11"/>
      <c r="D328" s="21" t="str">
        <f>IF(OR(C328="",'영어 단어장'!B328=""),"",IF(EXACT(LOWER(TRIM(C328)),LOWER(TRIM('영어 단어장'!B328))),"",'영어 단어장'!B328))</f>
        <v/>
      </c>
      <c r="E328" s="15" t="str">
        <f>IF(OR(B328="",C328=""),"",IF(EXACT(LOWER(TRIM(C328)),LOWER(TRIM('영어 단어장'!B328))),"⭕","❌"))</f>
        <v/>
      </c>
      <c r="F328" s="12"/>
    </row>
    <row r="329" spans="1:6" ht="21" x14ac:dyDescent="0.4">
      <c r="A329" s="10">
        <f t="shared" si="5"/>
        <v>328</v>
      </c>
      <c r="B329" s="10" t="str">
        <f>IF('영어 단어장'!C329="","",'영어 단어장'!C329)</f>
        <v>의지하다</v>
      </c>
      <c r="C329" s="11"/>
      <c r="D329" s="21" t="str">
        <f>IF(OR(C329="",'영어 단어장'!B329=""),"",IF(EXACT(LOWER(TRIM(C329)),LOWER(TRIM('영어 단어장'!B329))),"",'영어 단어장'!B329))</f>
        <v/>
      </c>
      <c r="E329" s="15" t="str">
        <f>IF(OR(B329="",C329=""),"",IF(EXACT(LOWER(TRIM(C329)),LOWER(TRIM('영어 단어장'!B329))),"⭕","❌"))</f>
        <v/>
      </c>
      <c r="F329" s="12"/>
    </row>
    <row r="330" spans="1:6" ht="21" x14ac:dyDescent="0.4">
      <c r="A330" s="10">
        <f t="shared" si="5"/>
        <v>329</v>
      </c>
      <c r="B330" s="10" t="str">
        <f>IF('영어 단어장'!C330="","",'영어 단어장'!C330)</f>
        <v>분리된, 고립된</v>
      </c>
      <c r="C330" s="11"/>
      <c r="D330" s="21" t="str">
        <f>IF(OR(C330="",'영어 단어장'!B330=""),"",IF(EXACT(LOWER(TRIM(C330)),LOWER(TRIM('영어 단어장'!B330))),"",'영어 단어장'!B330))</f>
        <v/>
      </c>
      <c r="E330" s="15" t="str">
        <f>IF(OR(B330="",C330=""),"",IF(EXACT(LOWER(TRIM(C330)),LOWER(TRIM('영어 단어장'!B330))),"⭕","❌"))</f>
        <v/>
      </c>
      <c r="F330" s="12"/>
    </row>
    <row r="331" spans="1:6" ht="21" x14ac:dyDescent="0.4">
      <c r="A331" s="10">
        <f t="shared" si="5"/>
        <v>330</v>
      </c>
      <c r="B331" s="10" t="str">
        <f>IF('영어 단어장'!C331="","",'영어 단어장'!C331)</f>
        <v>유권자</v>
      </c>
      <c r="C331" s="11"/>
      <c r="D331" s="21" t="str">
        <f>IF(OR(C331="",'영어 단어장'!B331=""),"",IF(EXACT(LOWER(TRIM(C331)),LOWER(TRIM('영어 단어장'!B331))),"",'영어 단어장'!B331))</f>
        <v/>
      </c>
      <c r="E331" s="15" t="str">
        <f>IF(OR(B331="",C331=""),"",IF(EXACT(LOWER(TRIM(C331)),LOWER(TRIM('영어 단어장'!B331))),"⭕","❌"))</f>
        <v/>
      </c>
      <c r="F331" s="12"/>
    </row>
    <row r="332" spans="1:6" ht="21" x14ac:dyDescent="0.4">
      <c r="A332" s="10">
        <f t="shared" si="5"/>
        <v>331</v>
      </c>
      <c r="B332" s="10" t="str">
        <f>IF('영어 단어장'!C332="","",'영어 단어장'!C332)</f>
        <v>간과하다</v>
      </c>
      <c r="C332" s="11"/>
      <c r="D332" s="21" t="str">
        <f>IF(OR(C332="",'영어 단어장'!B332=""),"",IF(EXACT(LOWER(TRIM(C332)),LOWER(TRIM('영어 단어장'!B332))),"",'영어 단어장'!B332))</f>
        <v/>
      </c>
      <c r="E332" s="15" t="str">
        <f>IF(OR(B332="",C332=""),"",IF(EXACT(LOWER(TRIM(C332)),LOWER(TRIM('영어 단어장'!B332))),"⭕","❌"))</f>
        <v/>
      </c>
      <c r="F332" s="12"/>
    </row>
    <row r="333" spans="1:6" ht="21" x14ac:dyDescent="0.4">
      <c r="A333" s="10">
        <f t="shared" si="5"/>
        <v>332</v>
      </c>
      <c r="B333" s="10" t="str">
        <f>IF('영어 단어장'!C333="","",'영어 단어장'!C333)</f>
        <v>의무</v>
      </c>
      <c r="C333" s="11"/>
      <c r="D333" s="21" t="str">
        <f>IF(OR(C333="",'영어 단어장'!B333=""),"",IF(EXACT(LOWER(TRIM(C333)),LOWER(TRIM('영어 단어장'!B333))),"",'영어 단어장'!B333))</f>
        <v/>
      </c>
      <c r="E333" s="15" t="str">
        <f>IF(OR(B333="",C333=""),"",IF(EXACT(LOWER(TRIM(C333)),LOWER(TRIM('영어 단어장'!B333))),"⭕","❌"))</f>
        <v/>
      </c>
      <c r="F333" s="12"/>
    </row>
    <row r="334" spans="1:6" ht="21" x14ac:dyDescent="0.4">
      <c r="A334" s="10">
        <f t="shared" si="5"/>
        <v>333</v>
      </c>
      <c r="B334" s="10" t="str">
        <f>IF('영어 단어장'!C334="","",'영어 단어장'!C334)</f>
        <v>관계, 소속</v>
      </c>
      <c r="C334" s="11"/>
      <c r="D334" s="21" t="str">
        <f>IF(OR(C334="",'영어 단어장'!B334=""),"",IF(EXACT(LOWER(TRIM(C334)),LOWER(TRIM('영어 단어장'!B334))),"",'영어 단어장'!B334))</f>
        <v/>
      </c>
      <c r="E334" s="15" t="str">
        <f>IF(OR(B334="",C334=""),"",IF(EXACT(LOWER(TRIM(C334)),LOWER(TRIM('영어 단어장'!B334))),"⭕","❌"))</f>
        <v/>
      </c>
      <c r="F334" s="12"/>
    </row>
    <row r="335" spans="1:6" ht="21" x14ac:dyDescent="0.4">
      <c r="A335" s="10">
        <f t="shared" si="5"/>
        <v>334</v>
      </c>
      <c r="B335" s="10" t="str">
        <f>IF('영어 단어장'!C335="","",'영어 단어장'!C335)</f>
        <v>다시말해</v>
      </c>
      <c r="C335" s="11"/>
      <c r="D335" s="21" t="str">
        <f>IF(OR(C335="",'영어 단어장'!B335=""),"",IF(EXACT(LOWER(TRIM(C335)),LOWER(TRIM('영어 단어장'!B335))),"",'영어 단어장'!B335))</f>
        <v/>
      </c>
      <c r="E335" s="15" t="str">
        <f>IF(OR(B335="",C335=""),"",IF(EXACT(LOWER(TRIM(C335)),LOWER(TRIM('영어 단어장'!B335))),"⭕","❌"))</f>
        <v/>
      </c>
      <c r="F335" s="12"/>
    </row>
    <row r="336" spans="1:6" ht="21" x14ac:dyDescent="0.4">
      <c r="A336" s="10">
        <f t="shared" si="5"/>
        <v>335</v>
      </c>
      <c r="B336" s="10" t="str">
        <f>IF('영어 단어장'!C336="","",'영어 단어장'!C336)</f>
        <v>꽤, 공평하게, 적절하게</v>
      </c>
      <c r="C336" s="11"/>
      <c r="D336" s="21" t="str">
        <f>IF(OR(C336="",'영어 단어장'!B336=""),"",IF(EXACT(LOWER(TRIM(C336)),LOWER(TRIM('영어 단어장'!B336))),"",'영어 단어장'!B336))</f>
        <v/>
      </c>
      <c r="E336" s="15" t="str">
        <f>IF(OR(B336="",C336=""),"",IF(EXACT(LOWER(TRIM(C336)),LOWER(TRIM('영어 단어장'!B336))),"⭕","❌"))</f>
        <v/>
      </c>
      <c r="F336" s="12"/>
    </row>
    <row r="337" spans="1:6" ht="21" x14ac:dyDescent="0.4">
      <c r="A337" s="10">
        <f t="shared" si="5"/>
        <v>336</v>
      </c>
      <c r="B337" s="10" t="str">
        <f>IF('영어 단어장'!C337="","",'영어 단어장'!C337)</f>
        <v>협약, 회의</v>
      </c>
      <c r="C337" s="11"/>
      <c r="D337" s="21" t="str">
        <f>IF(OR(C337="",'영어 단어장'!B337=""),"",IF(EXACT(LOWER(TRIM(C337)),LOWER(TRIM('영어 단어장'!B337))),"",'영어 단어장'!B337))</f>
        <v/>
      </c>
      <c r="E337" s="15" t="str">
        <f>IF(OR(B337="",C337=""),"",IF(EXACT(LOWER(TRIM(C337)),LOWER(TRIM('영어 단어장'!B337))),"⭕","❌"))</f>
        <v/>
      </c>
      <c r="F337" s="12"/>
    </row>
    <row r="338" spans="1:6" ht="21" x14ac:dyDescent="0.4">
      <c r="A338" s="10">
        <f t="shared" si="5"/>
        <v>337</v>
      </c>
      <c r="B338" s="10" t="str">
        <f>IF('영어 단어장'!C338="","",'영어 단어장'!C338)</f>
        <v>경멸하다</v>
      </c>
      <c r="C338" s="11"/>
      <c r="D338" s="21" t="str">
        <f>IF(OR(C338="",'영어 단어장'!B338=""),"",IF(EXACT(LOWER(TRIM(C338)),LOWER(TRIM('영어 단어장'!B338))),"",'영어 단어장'!B338))</f>
        <v/>
      </c>
      <c r="E338" s="15" t="str">
        <f>IF(OR(B338="",C338=""),"",IF(EXACT(LOWER(TRIM(C338)),LOWER(TRIM('영어 단어장'!B338))),"⭕","❌"))</f>
        <v/>
      </c>
      <c r="F338" s="12"/>
    </row>
    <row r="339" spans="1:6" ht="21" x14ac:dyDescent="0.4">
      <c r="A339" s="10">
        <f t="shared" si="5"/>
        <v>338</v>
      </c>
      <c r="B339" s="10" t="str">
        <f>IF('영어 단어장'!C339="","",'영어 단어장'!C339)</f>
        <v>기득권층</v>
      </c>
      <c r="C339" s="11"/>
      <c r="D339" s="21" t="str">
        <f>IF(OR(C339="",'영어 단어장'!B339=""),"",IF(EXACT(LOWER(TRIM(C339)),LOWER(TRIM('영어 단어장'!B339))),"",'영어 단어장'!B339))</f>
        <v/>
      </c>
      <c r="E339" s="15" t="str">
        <f>IF(OR(B339="",C339=""),"",IF(EXACT(LOWER(TRIM(C339)),LOWER(TRIM('영어 단어장'!B339))),"⭕","❌"))</f>
        <v/>
      </c>
      <c r="F339" s="12"/>
    </row>
    <row r="340" spans="1:6" ht="21" x14ac:dyDescent="0.4">
      <c r="A340" s="10">
        <f t="shared" si="5"/>
        <v>339</v>
      </c>
      <c r="B340" s="10" t="str">
        <f>IF('영어 단어장'!C340="","",'영어 단어장'!C340)</f>
        <v>구식의</v>
      </c>
      <c r="C340" s="11"/>
      <c r="D340" s="21" t="str">
        <f>IF(OR(C340="",'영어 단어장'!B340=""),"",IF(EXACT(LOWER(TRIM(C340)),LOWER(TRIM('영어 단어장'!B340))),"",'영어 단어장'!B340))</f>
        <v/>
      </c>
      <c r="E340" s="15" t="str">
        <f>IF(OR(B340="",C340=""),"",IF(EXACT(LOWER(TRIM(C340)),LOWER(TRIM('영어 단어장'!B340))),"⭕","❌"))</f>
        <v/>
      </c>
      <c r="F340" s="12"/>
    </row>
    <row r="341" spans="1:6" ht="21" x14ac:dyDescent="0.4">
      <c r="A341" s="10">
        <f t="shared" si="5"/>
        <v>340</v>
      </c>
      <c r="B341" s="10" t="str">
        <f>IF('영어 단어장'!C341="","",'영어 단어장'!C341)</f>
        <v>비난하다</v>
      </c>
      <c r="C341" s="11"/>
      <c r="D341" s="21" t="str">
        <f>IF(OR(C341="",'영어 단어장'!B341=""),"",IF(EXACT(LOWER(TRIM(C341)),LOWER(TRIM('영어 단어장'!B341))),"",'영어 단어장'!B341))</f>
        <v/>
      </c>
      <c r="E341" s="15" t="str">
        <f>IF(OR(B341="",C341=""),"",IF(EXACT(LOWER(TRIM(C341)),LOWER(TRIM('영어 단어장'!B341))),"⭕","❌"))</f>
        <v/>
      </c>
      <c r="F341" s="12"/>
    </row>
    <row r="342" spans="1:6" ht="21" x14ac:dyDescent="0.4">
      <c r="A342" s="10">
        <f t="shared" si="5"/>
        <v>341</v>
      </c>
      <c r="B342" s="10" t="str">
        <f>IF('영어 단어장'!C342="","",'영어 단어장'!C342)</f>
        <v>온건해지다</v>
      </c>
      <c r="C342" s="11"/>
      <c r="D342" s="21" t="str">
        <f>IF(OR(C342="",'영어 단어장'!B342=""),"",IF(EXACT(LOWER(TRIM(C342)),LOWER(TRIM('영어 단어장'!B342))),"",'영어 단어장'!B342))</f>
        <v/>
      </c>
      <c r="E342" s="15" t="str">
        <f>IF(OR(B342="",C342=""),"",IF(EXACT(LOWER(TRIM(C342)),LOWER(TRIM('영어 단어장'!B342))),"⭕","❌"))</f>
        <v/>
      </c>
      <c r="F342" s="12"/>
    </row>
    <row r="343" spans="1:6" ht="21" x14ac:dyDescent="0.4">
      <c r="A343" s="10">
        <f t="shared" si="5"/>
        <v>342</v>
      </c>
      <c r="B343" s="10" t="str">
        <f>IF('영어 단어장'!C343="","",'영어 단어장'!C343)</f>
        <v>관점</v>
      </c>
      <c r="C343" s="11"/>
      <c r="D343" s="21" t="str">
        <f>IF(OR(C343="",'영어 단어장'!B343=""),"",IF(EXACT(LOWER(TRIM(C343)),LOWER(TRIM('영어 단어장'!B343))),"",'영어 단어장'!B343))</f>
        <v/>
      </c>
      <c r="E343" s="15" t="str">
        <f>IF(OR(B343="",C343=""),"",IF(EXACT(LOWER(TRIM(C343)),LOWER(TRIM('영어 단어장'!B343))),"⭕","❌"))</f>
        <v/>
      </c>
      <c r="F343" s="12"/>
    </row>
    <row r="344" spans="1:6" ht="21" x14ac:dyDescent="0.4">
      <c r="A344" s="10">
        <f t="shared" si="5"/>
        <v>343</v>
      </c>
      <c r="B344" s="10" t="str">
        <f>IF('영어 단어장'!C344="","",'영어 단어장'!C344)</f>
        <v>일련의</v>
      </c>
      <c r="C344" s="11"/>
      <c r="D344" s="21" t="str">
        <f>IF(OR(C344="",'영어 단어장'!B344=""),"",IF(EXACT(LOWER(TRIM(C344)),LOWER(TRIM('영어 단어장'!B344))),"",'영어 단어장'!B344))</f>
        <v/>
      </c>
      <c r="E344" s="15" t="str">
        <f>IF(OR(B344="",C344=""),"",IF(EXACT(LOWER(TRIM(C344)),LOWER(TRIM('영어 단어장'!B344))),"⭕","❌"))</f>
        <v/>
      </c>
      <c r="F344" s="12"/>
    </row>
    <row r="345" spans="1:6" ht="21" x14ac:dyDescent="0.4">
      <c r="A345" s="10">
        <f t="shared" si="5"/>
        <v>344</v>
      </c>
      <c r="B345" s="10" t="str">
        <f>IF('영어 단어장'!C345="","",'영어 단어장'!C345)</f>
        <v>권위있는</v>
      </c>
      <c r="C345" s="11"/>
      <c r="D345" s="21" t="str">
        <f>IF(OR(C345="",'영어 단어장'!B345=""),"",IF(EXACT(LOWER(TRIM(C345)),LOWER(TRIM('영어 단어장'!B345))),"",'영어 단어장'!B345))</f>
        <v/>
      </c>
      <c r="E345" s="15" t="str">
        <f>IF(OR(B345="",C345=""),"",IF(EXACT(LOWER(TRIM(C345)),LOWER(TRIM('영어 단어장'!B345))),"⭕","❌"))</f>
        <v/>
      </c>
      <c r="F345" s="12"/>
    </row>
    <row r="346" spans="1:6" ht="21" x14ac:dyDescent="0.4">
      <c r="A346" s="10">
        <f t="shared" si="5"/>
        <v>345</v>
      </c>
      <c r="B346" s="10" t="str">
        <f>IF('영어 단어장'!C346="","",'영어 단어장'!C346)</f>
        <v>반항적인</v>
      </c>
      <c r="C346" s="11"/>
      <c r="D346" s="21" t="str">
        <f>IF(OR(C346="",'영어 단어장'!B346=""),"",IF(EXACT(LOWER(TRIM(C346)),LOWER(TRIM('영어 단어장'!B346))),"",'영어 단어장'!B346))</f>
        <v/>
      </c>
      <c r="E346" s="15" t="str">
        <f>IF(OR(B346="",C346=""),"",IF(EXACT(LOWER(TRIM(C346)),LOWER(TRIM('영어 단어장'!B346))),"⭕","❌"))</f>
        <v/>
      </c>
      <c r="F346" s="12"/>
    </row>
    <row r="347" spans="1:6" ht="21" x14ac:dyDescent="0.4">
      <c r="A347" s="10">
        <f t="shared" si="5"/>
        <v>346</v>
      </c>
      <c r="B347" s="10" t="str">
        <f>IF('영어 단어장'!C347="","",'영어 단어장'!C347)</f>
        <v>제도</v>
      </c>
      <c r="C347" s="11"/>
      <c r="D347" s="21" t="str">
        <f>IF(OR(C347="",'영어 단어장'!B347=""),"",IF(EXACT(LOWER(TRIM(C347)),LOWER(TRIM('영어 단어장'!B347))),"",'영어 단어장'!B347))</f>
        <v/>
      </c>
      <c r="E347" s="15" t="str">
        <f>IF(OR(B347="",C347=""),"",IF(EXACT(LOWER(TRIM(C347)),LOWER(TRIM('영어 단어장'!B347))),"⭕","❌"))</f>
        <v/>
      </c>
      <c r="F347" s="12"/>
    </row>
    <row r="348" spans="1:6" ht="21" x14ac:dyDescent="0.4">
      <c r="A348" s="10">
        <f t="shared" si="5"/>
        <v>347</v>
      </c>
      <c r="B348" s="10" t="str">
        <f>IF('영어 단어장'!C348="","",'영어 단어장'!C348)</f>
        <v>조롱하다</v>
      </c>
      <c r="C348" s="11"/>
      <c r="D348" s="21" t="str">
        <f>IF(OR(C348="",'영어 단어장'!B348=""),"",IF(EXACT(LOWER(TRIM(C348)),LOWER(TRIM('영어 단어장'!B348))),"",'영어 단어장'!B348))</f>
        <v/>
      </c>
      <c r="E348" s="15" t="str">
        <f>IF(OR(B348="",C348=""),"",IF(EXACT(LOWER(TRIM(C348)),LOWER(TRIM('영어 단어장'!B348))),"⭕","❌"))</f>
        <v/>
      </c>
      <c r="F348" s="12"/>
    </row>
    <row r="349" spans="1:6" ht="21" x14ac:dyDescent="0.4">
      <c r="A349" s="10">
        <f t="shared" si="5"/>
        <v>348</v>
      </c>
      <c r="B349" s="10" t="str">
        <f>IF('영어 단어장'!C349="","",'영어 단어장'!C349)</f>
        <v>나타나다</v>
      </c>
      <c r="C349" s="11"/>
      <c r="D349" s="21" t="str">
        <f>IF(OR(C349="",'영어 단어장'!B349=""),"",IF(EXACT(LOWER(TRIM(C349)),LOWER(TRIM('영어 단어장'!B349))),"",'영어 단어장'!B349))</f>
        <v/>
      </c>
      <c r="E349" s="15" t="str">
        <f>IF(OR(B349="",C349=""),"",IF(EXACT(LOWER(TRIM(C349)),LOWER(TRIM('영어 단어장'!B349))),"⭕","❌"))</f>
        <v/>
      </c>
      <c r="F349" s="12"/>
    </row>
    <row r="350" spans="1:6" ht="21" x14ac:dyDescent="0.4">
      <c r="A350" s="10">
        <f t="shared" si="5"/>
        <v>349</v>
      </c>
      <c r="B350" s="10" t="str">
        <f>IF('영어 단어장'!C350="","",'영어 단어장'!C350)</f>
        <v>따르다, 일치하다</v>
      </c>
      <c r="C350" s="11"/>
      <c r="D350" s="21" t="str">
        <f>IF(OR(C350="",'영어 단어장'!B350=""),"",IF(EXACT(LOWER(TRIM(C350)),LOWER(TRIM('영어 단어장'!B350))),"",'영어 단어장'!B350))</f>
        <v/>
      </c>
      <c r="E350" s="15" t="str">
        <f>IF(OR(B350="",C350=""),"",IF(EXACT(LOWER(TRIM(C350)),LOWER(TRIM('영어 단어장'!B350))),"⭕","❌"))</f>
        <v/>
      </c>
      <c r="F350" s="12"/>
    </row>
    <row r="351" spans="1:6" ht="21" x14ac:dyDescent="0.4">
      <c r="A351" s="10">
        <f t="shared" si="5"/>
        <v>350</v>
      </c>
      <c r="B351" s="10" t="str">
        <f>IF('영어 단어장'!C351="","",'영어 단어장'!C351)</f>
        <v>밝혀지다</v>
      </c>
      <c r="C351" s="11"/>
      <c r="D351" s="21" t="str">
        <f>IF(OR(C351="",'영어 단어장'!B351=""),"",IF(EXACT(LOWER(TRIM(C351)),LOWER(TRIM('영어 단어장'!B351))),"",'영어 단어장'!B351))</f>
        <v/>
      </c>
      <c r="E351" s="15" t="str">
        <f>IF(OR(B351="",C351=""),"",IF(EXACT(LOWER(TRIM(C351)),LOWER(TRIM('영어 단어장'!B351))),"⭕","❌"))</f>
        <v/>
      </c>
      <c r="F351" s="12"/>
    </row>
    <row r="352" spans="1:6" ht="21" x14ac:dyDescent="0.4">
      <c r="A352" s="10">
        <f t="shared" si="5"/>
        <v>351</v>
      </c>
      <c r="B352" s="10" t="str">
        <f>IF('영어 단어장'!C352="","",'영어 단어장'!C352)</f>
        <v>포용하다, 받아들이다</v>
      </c>
      <c r="C352" s="11"/>
      <c r="D352" s="21" t="str">
        <f>IF(OR(C352="",'영어 단어장'!B352=""),"",IF(EXACT(LOWER(TRIM(C352)),LOWER(TRIM('영어 단어장'!B352))),"",'영어 단어장'!B352))</f>
        <v/>
      </c>
      <c r="E352" s="15" t="str">
        <f>IF(OR(B352="",C352=""),"",IF(EXACT(LOWER(TRIM(C352)),LOWER(TRIM('영어 단어장'!B352))),"⭕","❌"))</f>
        <v/>
      </c>
      <c r="F352" s="12"/>
    </row>
    <row r="353" spans="1:6" ht="21" x14ac:dyDescent="0.4">
      <c r="A353" s="10">
        <f t="shared" si="5"/>
        <v>352</v>
      </c>
      <c r="B353" s="10" t="str">
        <f>IF('영어 단어장'!C353="","",'영어 단어장'!C353)</f>
        <v>비난하다</v>
      </c>
      <c r="C353" s="11"/>
      <c r="D353" s="21" t="str">
        <f>IF(OR(C353="",'영어 단어장'!B353=""),"",IF(EXACT(LOWER(TRIM(C353)),LOWER(TRIM('영어 단어장'!B353))),"",'영어 단어장'!B353))</f>
        <v/>
      </c>
      <c r="E353" s="15" t="str">
        <f>IF(OR(B353="",C353=""),"",IF(EXACT(LOWER(TRIM(C353)),LOWER(TRIM('영어 단어장'!B353))),"⭕","❌"))</f>
        <v/>
      </c>
      <c r="F353" s="12"/>
    </row>
    <row r="354" spans="1:6" ht="21" x14ac:dyDescent="0.4">
      <c r="A354" s="10">
        <f t="shared" si="5"/>
        <v>353</v>
      </c>
      <c r="B354" s="10" t="str">
        <f>IF('영어 단어장'!C354="","",'영어 단어장'!C354)</f>
        <v>정권</v>
      </c>
      <c r="C354" s="11"/>
      <c r="D354" s="21" t="str">
        <f>IF(OR(C354="",'영어 단어장'!B354=""),"",IF(EXACT(LOWER(TRIM(C354)),LOWER(TRIM('영어 단어장'!B354))),"",'영어 단어장'!B354))</f>
        <v/>
      </c>
      <c r="E354" s="15" t="str">
        <f>IF(OR(B354="",C354=""),"",IF(EXACT(LOWER(TRIM(C354)),LOWER(TRIM('영어 단어장'!B354))),"⭕","❌"))</f>
        <v/>
      </c>
      <c r="F354" s="12"/>
    </row>
    <row r="355" spans="1:6" ht="21" x14ac:dyDescent="0.4">
      <c r="A355" s="10">
        <f t="shared" si="5"/>
        <v>354</v>
      </c>
      <c r="B355" s="10" t="str">
        <f>IF('영어 단어장'!C355="","",'영어 단어장'!C355)</f>
        <v>독재적인</v>
      </c>
      <c r="C355" s="11"/>
      <c r="D355" s="21" t="str">
        <f>IF(OR(C355="",'영어 단어장'!B355=""),"",IF(EXACT(LOWER(TRIM(C355)),LOWER(TRIM('영어 단어장'!B355))),"",'영어 단어장'!B355))</f>
        <v/>
      </c>
      <c r="E355" s="15" t="str">
        <f>IF(OR(B355="",C355=""),"",IF(EXACT(LOWER(TRIM(C355)),LOWER(TRIM('영어 단어장'!B355))),"⭕","❌"))</f>
        <v/>
      </c>
      <c r="F355" s="12"/>
    </row>
    <row r="356" spans="1:6" ht="21" x14ac:dyDescent="0.4">
      <c r="A356" s="10">
        <f t="shared" si="5"/>
        <v>355</v>
      </c>
      <c r="B356" s="10" t="str">
        <f>IF('영어 단어장'!C356="","",'영어 단어장'!C356)</f>
        <v>확고한</v>
      </c>
      <c r="C356" s="11"/>
      <c r="D356" s="21" t="str">
        <f>IF(OR(C356="",'영어 단어장'!B356=""),"",IF(EXACT(LOWER(TRIM(C356)),LOWER(TRIM('영어 단어장'!B356))),"",'영어 단어장'!B356))</f>
        <v/>
      </c>
      <c r="E356" s="15" t="str">
        <f>IF(OR(B356="",C356=""),"",IF(EXACT(LOWER(TRIM(C356)),LOWER(TRIM('영어 단어장'!B356))),"⭕","❌"))</f>
        <v/>
      </c>
      <c r="F356" s="12"/>
    </row>
    <row r="357" spans="1:6" ht="21" x14ac:dyDescent="0.4">
      <c r="A357" s="10">
        <f t="shared" si="5"/>
        <v>356</v>
      </c>
      <c r="B357" s="10" t="str">
        <f>IF('영어 단어장'!C357="","",'영어 단어장'!C357)</f>
        <v>거부하다</v>
      </c>
      <c r="C357" s="11"/>
      <c r="D357" s="21" t="str">
        <f>IF(OR(C357="",'영어 단어장'!B357=""),"",IF(EXACT(LOWER(TRIM(C357)),LOWER(TRIM('영어 단어장'!B357))),"",'영어 단어장'!B357))</f>
        <v/>
      </c>
      <c r="E357" s="15" t="str">
        <f>IF(OR(B357="",C357=""),"",IF(EXACT(LOWER(TRIM(C357)),LOWER(TRIM('영어 단어장'!B357))),"⭕","❌"))</f>
        <v/>
      </c>
      <c r="F357" s="12"/>
    </row>
    <row r="358" spans="1:6" ht="21" x14ac:dyDescent="0.4">
      <c r="A358" s="10">
        <f t="shared" si="5"/>
        <v>357</v>
      </c>
      <c r="B358" s="10" t="str">
        <f>IF('영어 단어장'!C358="","",'영어 단어장'!C358)</f>
        <v>완전히</v>
      </c>
      <c r="C358" s="11"/>
      <c r="D358" s="21" t="str">
        <f>IF(OR(C358="",'영어 단어장'!B358=""),"",IF(EXACT(LOWER(TRIM(C358)),LOWER(TRIM('영어 단어장'!B358))),"",'영어 단어장'!B358))</f>
        <v/>
      </c>
      <c r="E358" s="15" t="str">
        <f>IF(OR(B358="",C358=""),"",IF(EXACT(LOWER(TRIM(C358)),LOWER(TRIM('영어 단어장'!B358))),"⭕","❌"))</f>
        <v/>
      </c>
      <c r="F358" s="12"/>
    </row>
    <row r="359" spans="1:6" ht="21" x14ac:dyDescent="0.4">
      <c r="A359" s="10">
        <f t="shared" si="5"/>
        <v>358</v>
      </c>
      <c r="B359" s="10" t="str">
        <f>IF('영어 단어장'!C359="","",'영어 단어장'!C359)</f>
        <v>경향, 추세</v>
      </c>
      <c r="C359" s="11"/>
      <c r="D359" s="21" t="str">
        <f>IF(OR(C359="",'영어 단어장'!B359=""),"",IF(EXACT(LOWER(TRIM(C359)),LOWER(TRIM('영어 단어장'!B359))),"",'영어 단어장'!B359))</f>
        <v/>
      </c>
      <c r="E359" s="15" t="str">
        <f>IF(OR(B359="",C359=""),"",IF(EXACT(LOWER(TRIM(C359)),LOWER(TRIM('영어 단어장'!B359))),"⭕","❌"))</f>
        <v/>
      </c>
      <c r="F359" s="12"/>
    </row>
    <row r="360" spans="1:6" ht="21" x14ac:dyDescent="0.4">
      <c r="A360" s="10">
        <f t="shared" si="5"/>
        <v>359</v>
      </c>
      <c r="B360" s="10" t="str">
        <f>IF('영어 단어장'!C360="","",'영어 단어장'!C360)</f>
        <v>버리다, 포기하다</v>
      </c>
      <c r="C360" s="11"/>
      <c r="D360" s="21" t="str">
        <f>IF(OR(C360="",'영어 단어장'!B360=""),"",IF(EXACT(LOWER(TRIM(C360)),LOWER(TRIM('영어 단어장'!B360))),"",'영어 단어장'!B360))</f>
        <v/>
      </c>
      <c r="E360" s="15" t="str">
        <f>IF(OR(B360="",C360=""),"",IF(EXACT(LOWER(TRIM(C360)),LOWER(TRIM('영어 단어장'!B360))),"⭕","❌"))</f>
        <v/>
      </c>
      <c r="F360" s="12"/>
    </row>
    <row r="361" spans="1:6" ht="21" x14ac:dyDescent="0.4">
      <c r="A361" s="10">
        <f t="shared" si="5"/>
        <v>360</v>
      </c>
      <c r="B361" s="10" t="str">
        <f>IF('영어 단어장'!C361="","",'영어 단어장'!C361)</f>
        <v>버리다, 저버리다</v>
      </c>
      <c r="C361" s="11"/>
      <c r="D361" s="21" t="str">
        <f>IF(OR(C361="",'영어 단어장'!B361=""),"",IF(EXACT(LOWER(TRIM(C361)),LOWER(TRIM('영어 단어장'!B361))),"",'영어 단어장'!B361))</f>
        <v/>
      </c>
      <c r="E361" s="15" t="str">
        <f>IF(OR(B361="",C361=""),"",IF(EXACT(LOWER(TRIM(C361)),LOWER(TRIM('영어 단어장'!B361))),"⭕","❌"))</f>
        <v/>
      </c>
      <c r="F361" s="12"/>
    </row>
    <row r="362" spans="1:6" ht="21" x14ac:dyDescent="0.4">
      <c r="A362" s="10">
        <f t="shared" si="5"/>
        <v>361</v>
      </c>
      <c r="B362" s="10" t="str">
        <f>IF('영어 단어장'!C362="","",'영어 단어장'!C362)</f>
        <v>항복, 넘겨주다</v>
      </c>
      <c r="C362" s="11"/>
      <c r="D362" s="21" t="str">
        <f>IF(OR(C362="",'영어 단어장'!B362=""),"",IF(EXACT(LOWER(TRIM(C362)),LOWER(TRIM('영어 단어장'!B362))),"",'영어 단어장'!B362))</f>
        <v/>
      </c>
      <c r="E362" s="15" t="str">
        <f>IF(OR(B362="",C362=""),"",IF(EXACT(LOWER(TRIM(C362)),LOWER(TRIM('영어 단어장'!B362))),"⭕","❌"))</f>
        <v/>
      </c>
      <c r="F362" s="12"/>
    </row>
    <row r="363" spans="1:6" ht="21" x14ac:dyDescent="0.4">
      <c r="A363" s="10">
        <f t="shared" si="5"/>
        <v>362</v>
      </c>
      <c r="B363" s="10" t="str">
        <f>IF('영어 단어장'!C363="","",'영어 단어장'!C363)</f>
        <v>넘겨주다</v>
      </c>
      <c r="C363" s="11"/>
      <c r="D363" s="21" t="str">
        <f>IF(OR(C363="",'영어 단어장'!B363=""),"",IF(EXACT(LOWER(TRIM(C363)),LOWER(TRIM('영어 단어장'!B363))),"",'영어 단어장'!B363))</f>
        <v/>
      </c>
      <c r="E363" s="15" t="str">
        <f>IF(OR(B363="",C363=""),"",IF(EXACT(LOWER(TRIM(C363)),LOWER(TRIM('영어 단어장'!B363))),"⭕","❌"))</f>
        <v/>
      </c>
      <c r="F363" s="12"/>
    </row>
    <row r="364" spans="1:6" ht="21" x14ac:dyDescent="0.4">
      <c r="A364" s="10">
        <f t="shared" si="5"/>
        <v>363</v>
      </c>
      <c r="B364" s="10" t="str">
        <f>IF('영어 단어장'!C364="","",'영어 단어장'!C364)</f>
        <v>내버리다</v>
      </c>
      <c r="C364" s="11"/>
      <c r="D364" s="21" t="str">
        <f>IF(OR(C364="",'영어 단어장'!B364=""),"",IF(EXACT(LOWER(TRIM(C364)),LOWER(TRIM('영어 단어장'!B364))),"",'영어 단어장'!B364))</f>
        <v/>
      </c>
      <c r="E364" s="15" t="str">
        <f>IF(OR(B364="",C364=""),"",IF(EXACT(LOWER(TRIM(C364)),LOWER(TRIM('영어 단어장'!B364))),"⭕","❌"))</f>
        <v/>
      </c>
      <c r="F364" s="12"/>
    </row>
    <row r="365" spans="1:6" ht="21" x14ac:dyDescent="0.4">
      <c r="A365" s="10">
        <f t="shared" si="5"/>
        <v>364</v>
      </c>
      <c r="B365" s="10" t="str">
        <f>IF('영어 단어장'!C365="","",'영어 단어장'!C365)</f>
        <v>해고하다</v>
      </c>
      <c r="C365" s="11"/>
      <c r="D365" s="21" t="str">
        <f>IF(OR(C365="",'영어 단어장'!B365=""),"",IF(EXACT(LOWER(TRIM(C365)),LOWER(TRIM('영어 단어장'!B365))),"",'영어 단어장'!B365))</f>
        <v/>
      </c>
      <c r="E365" s="15" t="str">
        <f>IF(OR(B365="",C365=""),"",IF(EXACT(LOWER(TRIM(C365)),LOWER(TRIM('영어 단어장'!B365))),"⭕","❌"))</f>
        <v/>
      </c>
      <c r="F365" s="12"/>
    </row>
    <row r="366" spans="1:6" ht="21" x14ac:dyDescent="0.4">
      <c r="A366" s="10">
        <f t="shared" si="5"/>
        <v>365</v>
      </c>
      <c r="B366" s="10" t="str">
        <f>IF('영어 단어장'!C366="","",'영어 단어장'!C366)</f>
        <v>포기하다, 단념하다</v>
      </c>
      <c r="C366" s="11"/>
      <c r="D366" s="21" t="str">
        <f>IF(OR(C366="",'영어 단어장'!B366=""),"",IF(EXACT(LOWER(TRIM(C366)),LOWER(TRIM('영어 단어장'!B366))),"",'영어 단어장'!B366))</f>
        <v/>
      </c>
      <c r="E366" s="15" t="str">
        <f>IF(OR(B366="",C366=""),"",IF(EXACT(LOWER(TRIM(C366)),LOWER(TRIM('영어 단어장'!B366))),"⭕","❌"))</f>
        <v/>
      </c>
      <c r="F366" s="12"/>
    </row>
    <row r="367" spans="1:6" ht="21" x14ac:dyDescent="0.4">
      <c r="A367" s="10">
        <f t="shared" si="5"/>
        <v>366</v>
      </c>
      <c r="B367" s="10" t="str">
        <f>IF('영어 단어장'!C367="","",'영어 단어장'!C367)</f>
        <v>포기하다, 사임하다</v>
      </c>
      <c r="C367" s="11"/>
      <c r="D367" s="21" t="str">
        <f>IF(OR(C367="",'영어 단어장'!B367=""),"",IF(EXACT(LOWER(TRIM(C367)),LOWER(TRIM('영어 단어장'!B367))),"",'영어 단어장'!B367))</f>
        <v/>
      </c>
      <c r="E367" s="15" t="str">
        <f>IF(OR(B367="",C367=""),"",IF(EXACT(LOWER(TRIM(C367)),LOWER(TRIM('영어 단어장'!B367))),"⭕","❌"))</f>
        <v/>
      </c>
      <c r="F367" s="12"/>
    </row>
    <row r="368" spans="1:6" ht="21" x14ac:dyDescent="0.4">
      <c r="A368" s="10">
        <f t="shared" si="5"/>
        <v>367</v>
      </c>
      <c r="B368" s="10" t="str">
        <f>IF('영어 단어장'!C368="","",'영어 단어장'!C368)</f>
        <v>버리다, 해고하다</v>
      </c>
      <c r="C368" s="11"/>
      <c r="D368" s="21" t="str">
        <f>IF(OR(C368="",'영어 단어장'!B368=""),"",IF(EXACT(LOWER(TRIM(C368)),LOWER(TRIM('영어 단어장'!B368))),"",'영어 단어장'!B368))</f>
        <v/>
      </c>
      <c r="E368" s="15" t="str">
        <f>IF(OR(B368="",C368=""),"",IF(EXACT(LOWER(TRIM(C368)),LOWER(TRIM('영어 단어장'!B368))),"⭕","❌"))</f>
        <v/>
      </c>
      <c r="F368" s="12"/>
    </row>
    <row r="369" spans="1:6" ht="21" x14ac:dyDescent="0.4">
      <c r="A369" s="10">
        <f t="shared" si="5"/>
        <v>368</v>
      </c>
      <c r="B369" s="10" t="str">
        <f>IF('영어 단어장'!C369="","",'영어 단어장'!C369)</f>
        <v>버리다, 도망가다 / 사막</v>
      </c>
      <c r="C369" s="11"/>
      <c r="D369" s="21" t="str">
        <f>IF(OR(C369="",'영어 단어장'!B369=""),"",IF(EXACT(LOWER(TRIM(C369)),LOWER(TRIM('영어 단어장'!B369))),"",'영어 단어장'!B369))</f>
        <v/>
      </c>
      <c r="E369" s="15" t="str">
        <f>IF(OR(B369="",C369=""),"",IF(EXACT(LOWER(TRIM(C369)),LOWER(TRIM('영어 단어장'!B369))),"⭕","❌"))</f>
        <v/>
      </c>
      <c r="F369" s="12"/>
    </row>
    <row r="370" spans="1:6" ht="21" x14ac:dyDescent="0.4">
      <c r="A370" s="10">
        <f t="shared" si="5"/>
        <v>369</v>
      </c>
      <c r="B370" s="10" t="str">
        <f>IF('영어 단어장'!C370="","",'영어 단어장'!C370)</f>
        <v>산출하다, 수확</v>
      </c>
      <c r="C370" s="11"/>
      <c r="D370" s="21" t="str">
        <f>IF(OR(C370="",'영어 단어장'!B370=""),"",IF(EXACT(LOWER(TRIM(C370)),LOWER(TRIM('영어 단어장'!B370))),"",'영어 단어장'!B370))</f>
        <v/>
      </c>
      <c r="E370" s="15" t="str">
        <f>IF(OR(B370="",C370=""),"",IF(EXACT(LOWER(TRIM(C370)),LOWER(TRIM('영어 단어장'!B370))),"⭕","❌"))</f>
        <v/>
      </c>
      <c r="F370" s="12"/>
    </row>
    <row r="371" spans="1:6" ht="21" x14ac:dyDescent="0.4">
      <c r="A371" s="10">
        <f t="shared" si="5"/>
        <v>370</v>
      </c>
      <c r="B371" s="10" t="str">
        <f>IF('영어 단어장'!C371="","",'영어 단어장'!C371)</f>
        <v>움켜집다, 파악하다</v>
      </c>
      <c r="C371" s="11"/>
      <c r="D371" s="21" t="str">
        <f>IF(OR(C371="",'영어 단어장'!B371=""),"",IF(EXACT(LOWER(TRIM(C371)),LOWER(TRIM('영어 단어장'!B371))),"",'영어 단어장'!B371))</f>
        <v/>
      </c>
      <c r="E371" s="15" t="str">
        <f>IF(OR(B371="",C371=""),"",IF(EXACT(LOWER(TRIM(C371)),LOWER(TRIM('영어 단어장'!B371))),"⭕","❌"))</f>
        <v/>
      </c>
      <c r="F371" s="12"/>
    </row>
    <row r="372" spans="1:6" ht="21" x14ac:dyDescent="0.4">
      <c r="A372" s="10">
        <f t="shared" si="5"/>
        <v>371</v>
      </c>
      <c r="B372" s="10" t="str">
        <f>IF('영어 단어장'!C372="","",'영어 단어장'!C372)</f>
        <v>사로잡다, 이해하다</v>
      </c>
      <c r="C372" s="11"/>
      <c r="D372" s="21" t="str">
        <f>IF(OR(C372="",'영어 단어장'!B372=""),"",IF(EXACT(LOWER(TRIM(C372)),LOWER(TRIM('영어 단어장'!B372))),"",'영어 단어장'!B372))</f>
        <v/>
      </c>
      <c r="E372" s="15" t="str">
        <f>IF(OR(B372="",C372=""),"",IF(EXACT(LOWER(TRIM(C372)),LOWER(TRIM('영어 단어장'!B372))),"⭕","❌"))</f>
        <v/>
      </c>
      <c r="F372" s="12"/>
    </row>
    <row r="373" spans="1:6" ht="21" x14ac:dyDescent="0.4">
      <c r="A373" s="10">
        <f t="shared" si="5"/>
        <v>372</v>
      </c>
      <c r="B373" s="10" t="str">
        <f>IF('영어 단어장'!C373="","",'영어 단어장'!C373)</f>
        <v>꽉 쥐다, 손잡이</v>
      </c>
      <c r="C373" s="11"/>
      <c r="D373" s="21" t="str">
        <f>IF(OR(C373="",'영어 단어장'!B373=""),"",IF(EXACT(LOWER(TRIM(C373)),LOWER(TRIM('영어 단어장'!B373))),"",'영어 단어장'!B373))</f>
        <v/>
      </c>
      <c r="E373" s="15" t="str">
        <f>IF(OR(B373="",C373=""),"",IF(EXACT(LOWER(TRIM(C373)),LOWER(TRIM('영어 단어장'!B373))),"⭕","❌"))</f>
        <v/>
      </c>
      <c r="F373" s="12"/>
    </row>
    <row r="374" spans="1:6" ht="21" x14ac:dyDescent="0.4">
      <c r="A374" s="10">
        <f t="shared" si="5"/>
        <v>373</v>
      </c>
      <c r="B374" s="10" t="str">
        <f>IF('영어 단어장'!C374="","",'영어 단어장'!C374)</f>
        <v>잡다, 획득하다</v>
      </c>
      <c r="C374" s="11"/>
      <c r="D374" s="21" t="str">
        <f>IF(OR(C374="",'영어 단어장'!B374=""),"",IF(EXACT(LOWER(TRIM(C374)),LOWER(TRIM('영어 단어장'!B374))),"",'영어 단어장'!B374))</f>
        <v/>
      </c>
      <c r="E374" s="15" t="str">
        <f>IF(OR(B374="",C374=""),"",IF(EXACT(LOWER(TRIM(C374)),LOWER(TRIM('영어 단어장'!B374))),"⭕","❌"))</f>
        <v/>
      </c>
      <c r="F374" s="12"/>
    </row>
    <row r="375" spans="1:6" ht="21" x14ac:dyDescent="0.4">
      <c r="A375" s="10">
        <f t="shared" si="5"/>
        <v>374</v>
      </c>
      <c r="B375" s="10" t="str">
        <f>IF('영어 단어장'!C375="","",'영어 단어장'!C375)</f>
        <v>잡아채다</v>
      </c>
      <c r="C375" s="11"/>
      <c r="D375" s="21" t="str">
        <f>IF(OR(C375="",'영어 단어장'!B375=""),"",IF(EXACT(LOWER(TRIM(C375)),LOWER(TRIM('영어 단어장'!B375))),"",'영어 단어장'!B375))</f>
        <v/>
      </c>
      <c r="E375" s="15" t="str">
        <f>IF(OR(B375="",C375=""),"",IF(EXACT(LOWER(TRIM(C375)),LOWER(TRIM('영어 단어장'!B375))),"⭕","❌"))</f>
        <v/>
      </c>
      <c r="F375" s="12"/>
    </row>
    <row r="376" spans="1:6" ht="21" x14ac:dyDescent="0.4">
      <c r="A376" s="10">
        <f t="shared" si="5"/>
        <v>375</v>
      </c>
      <c r="B376" s="10" t="str">
        <f>IF('영어 단어장'!C376="","",'영어 단어장'!C376)</f>
        <v>껴안다, 받아들이다</v>
      </c>
      <c r="C376" s="11"/>
      <c r="D376" s="21" t="str">
        <f>IF(OR(C376="",'영어 단어장'!B376=""),"",IF(EXACT(LOWER(TRIM(C376)),LOWER(TRIM('영어 단어장'!B376))),"",'영어 단어장'!B376))</f>
        <v/>
      </c>
      <c r="E376" s="15" t="str">
        <f>IF(OR(B376="",C376=""),"",IF(EXACT(LOWER(TRIM(C376)),LOWER(TRIM('영어 단어장'!B376))),"⭕","❌"))</f>
        <v/>
      </c>
      <c r="F376" s="12"/>
    </row>
    <row r="377" spans="1:6" ht="21" x14ac:dyDescent="0.4">
      <c r="A377" s="10">
        <f t="shared" si="5"/>
        <v>376</v>
      </c>
      <c r="B377" s="10" t="str">
        <f>IF('영어 단어장'!C377="","",'영어 단어장'!C377)</f>
        <v>인질</v>
      </c>
      <c r="C377" s="11"/>
      <c r="D377" s="21" t="str">
        <f>IF(OR(C377="",'영어 단어장'!B377=""),"",IF(EXACT(LOWER(TRIM(C377)),LOWER(TRIM('영어 단어장'!B377))),"",'영어 단어장'!B377))</f>
        <v/>
      </c>
      <c r="E377" s="15" t="str">
        <f>IF(OR(B377="",C377=""),"",IF(EXACT(LOWER(TRIM(C377)),LOWER(TRIM('영어 단어장'!B377))),"⭕","❌"))</f>
        <v/>
      </c>
      <c r="F377" s="12"/>
    </row>
    <row r="378" spans="1:6" ht="21" x14ac:dyDescent="0.4">
      <c r="A378" s="10">
        <f t="shared" si="5"/>
        <v>377</v>
      </c>
      <c r="B378" s="10" t="str">
        <f>IF('영어 단어장'!C378="","",'영어 단어장'!C378)</f>
        <v>유괴하다</v>
      </c>
      <c r="C378" s="11"/>
      <c r="D378" s="21" t="str">
        <f>IF(OR(C378="",'영어 단어장'!B378=""),"",IF(EXACT(LOWER(TRIM(C378)),LOWER(TRIM('영어 단어장'!B378))),"",'영어 단어장'!B378))</f>
        <v/>
      </c>
      <c r="E378" s="15" t="str">
        <f>IF(OR(B378="",C378=""),"",IF(EXACT(LOWER(TRIM(C378)),LOWER(TRIM('영어 단어장'!B378))),"⭕","❌"))</f>
        <v/>
      </c>
      <c r="F378" s="12"/>
    </row>
    <row r="379" spans="1:6" ht="21" x14ac:dyDescent="0.4">
      <c r="A379" s="10">
        <f t="shared" si="5"/>
        <v>378</v>
      </c>
      <c r="B379" s="10" t="str">
        <f>IF('영어 단어장'!C379="","",'영어 단어장'!C379)</f>
        <v>유괴하다</v>
      </c>
      <c r="C379" s="11"/>
      <c r="D379" s="21" t="str">
        <f>IF(OR(C379="",'영어 단어장'!B379=""),"",IF(EXACT(LOWER(TRIM(C379)),LOWER(TRIM('영어 단어장'!B379))),"",'영어 단어장'!B379))</f>
        <v/>
      </c>
      <c r="E379" s="15" t="str">
        <f>IF(OR(B379="",C379=""),"",IF(EXACT(LOWER(TRIM(C379)),LOWER(TRIM('영어 단어장'!B379))),"⭕","❌"))</f>
        <v/>
      </c>
      <c r="F379" s="12"/>
    </row>
    <row r="380" spans="1:6" ht="21" x14ac:dyDescent="0.4">
      <c r="A380" s="10">
        <f t="shared" si="5"/>
        <v>379</v>
      </c>
      <c r="B380" s="10" t="str">
        <f>IF('영어 단어장'!C380="","",'영어 단어장'!C380)</f>
        <v>그만두다</v>
      </c>
      <c r="C380" s="11"/>
      <c r="D380" s="21" t="str">
        <f>IF(OR(C380="",'영어 단어장'!B380=""),"",IF(EXACT(LOWER(TRIM(C380)),LOWER(TRIM('영어 단어장'!B380))),"",'영어 단어장'!B380))</f>
        <v/>
      </c>
      <c r="E380" s="15" t="str">
        <f>IF(OR(B380="",C380=""),"",IF(EXACT(LOWER(TRIM(C380)),LOWER(TRIM('영어 단어장'!B380))),"⭕","❌"))</f>
        <v/>
      </c>
      <c r="F380" s="12"/>
    </row>
    <row r="381" spans="1:6" ht="21" x14ac:dyDescent="0.4">
      <c r="A381" s="10">
        <f t="shared" si="5"/>
        <v>380</v>
      </c>
      <c r="B381" s="10" t="str">
        <f>IF('영어 단어장'!C381="","",'영어 단어장'!C381)</f>
        <v>퇴직하다</v>
      </c>
      <c r="C381" s="11"/>
      <c r="D381" s="21" t="str">
        <f>IF(OR(C381="",'영어 단어장'!B381=""),"",IF(EXACT(LOWER(TRIM(C381)),LOWER(TRIM('영어 단어장'!B381))),"",'영어 단어장'!B381))</f>
        <v/>
      </c>
      <c r="E381" s="15" t="str">
        <f>IF(OR(B381="",C381=""),"",IF(EXACT(LOWER(TRIM(C381)),LOWER(TRIM('영어 단어장'!B381))),"⭕","❌"))</f>
        <v/>
      </c>
      <c r="F381" s="12"/>
    </row>
    <row r="382" spans="1:6" ht="21" x14ac:dyDescent="0.4">
      <c r="A382" s="10">
        <f t="shared" si="5"/>
        <v>381</v>
      </c>
      <c r="B382" s="10" t="str">
        <f>IF('영어 단어장'!C382="","",'영어 단어장'!C382)</f>
        <v>은퇴시키다</v>
      </c>
      <c r="C382" s="11"/>
      <c r="D382" s="21" t="str">
        <f>IF(OR(C382="",'영어 단어장'!B382=""),"",IF(EXACT(LOWER(TRIM(C382)),LOWER(TRIM('영어 단어장'!B382))),"",'영어 단어장'!B382))</f>
        <v/>
      </c>
      <c r="E382" s="15" t="str">
        <f>IF(OR(B382="",C382=""),"",IF(EXACT(LOWER(TRIM(C382)),LOWER(TRIM('영어 단어장'!B382))),"⭕","❌"))</f>
        <v/>
      </c>
      <c r="F382" s="12"/>
    </row>
    <row r="383" spans="1:6" ht="21" x14ac:dyDescent="0.4">
      <c r="A383" s="10">
        <f t="shared" si="5"/>
        <v>382</v>
      </c>
      <c r="B383" s="10" t="str">
        <f>IF('영어 단어장'!C383="","",'영어 단어장'!C383)</f>
        <v>철회하다</v>
      </c>
      <c r="C383" s="11"/>
      <c r="D383" s="21" t="str">
        <f>IF(OR(C383="",'영어 단어장'!B383=""),"",IF(EXACT(LOWER(TRIM(C383)),LOWER(TRIM('영어 단어장'!B383))),"",'영어 단어장'!B383))</f>
        <v/>
      </c>
      <c r="E383" s="15" t="str">
        <f>IF(OR(B383="",C383=""),"",IF(EXACT(LOWER(TRIM(C383)),LOWER(TRIM('영어 단어장'!B383))),"⭕","❌"))</f>
        <v/>
      </c>
      <c r="F383" s="12"/>
    </row>
    <row r="384" spans="1:6" ht="21" x14ac:dyDescent="0.4">
      <c r="A384" s="10">
        <f t="shared" si="5"/>
        <v>383</v>
      </c>
      <c r="B384" s="10" t="str">
        <f>IF('영어 단어장'!C384="","",'영어 단어장'!C384)</f>
        <v>약한, 쇠약한</v>
      </c>
      <c r="C384" s="11"/>
      <c r="D384" s="21" t="str">
        <f>IF(OR(C384="",'영어 단어장'!B384=""),"",IF(EXACT(LOWER(TRIM(C384)),LOWER(TRIM('영어 단어장'!B384))),"",'영어 단어장'!B384))</f>
        <v/>
      </c>
      <c r="E384" s="15" t="str">
        <f>IF(OR(B384="",C384=""),"",IF(EXACT(LOWER(TRIM(C384)),LOWER(TRIM('영어 단어장'!B384))),"⭕","❌"))</f>
        <v/>
      </c>
      <c r="F384" s="12"/>
    </row>
    <row r="385" spans="1:6" ht="21" x14ac:dyDescent="0.4">
      <c r="A385" s="10">
        <f t="shared" si="5"/>
        <v>384</v>
      </c>
      <c r="B385" s="10" t="str">
        <f>IF('영어 단어장'!C385="","",'영어 단어장'!C385)</f>
        <v>시들다, 위축시키다</v>
      </c>
      <c r="C385" s="11"/>
      <c r="D385" s="21" t="str">
        <f>IF(OR(C385="",'영어 단어장'!B385=""),"",IF(EXACT(LOWER(TRIM(C385)),LOWER(TRIM('영어 단어장'!B385))),"",'영어 단어장'!B385))</f>
        <v/>
      </c>
      <c r="E385" s="15" t="str">
        <f>IF(OR(B385="",C385=""),"",IF(EXACT(LOWER(TRIM(C385)),LOWER(TRIM('영어 단어장'!B385))),"⭕","❌"))</f>
        <v/>
      </c>
      <c r="F385" s="12"/>
    </row>
    <row r="386" spans="1:6" ht="21" x14ac:dyDescent="0.4">
      <c r="A386" s="10">
        <f t="shared" si="5"/>
        <v>385</v>
      </c>
      <c r="B386" s="10" t="str">
        <f>IF('영어 단어장'!C386="","",'영어 단어장'!C386)</f>
        <v>시들다, 축 늘어지다</v>
      </c>
      <c r="C386" s="11"/>
      <c r="D386" s="21" t="str">
        <f>IF(OR(C386="",'영어 단어장'!B386=""),"",IF(EXACT(LOWER(TRIM(C386)),LOWER(TRIM('영어 단어장'!B386))),"",'영어 단어장'!B386))</f>
        <v/>
      </c>
      <c r="E386" s="15" t="str">
        <f>IF(OR(B386="",C386=""),"",IF(EXACT(LOWER(TRIM(C386)),LOWER(TRIM('영어 단어장'!B386))),"⭕","❌"))</f>
        <v/>
      </c>
      <c r="F386" s="12"/>
    </row>
    <row r="387" spans="1:6" ht="21" x14ac:dyDescent="0.4">
      <c r="A387" s="10">
        <f t="shared" ref="A387:A450" si="6">ROW()-1</f>
        <v>386</v>
      </c>
      <c r="B387" s="10" t="str">
        <f>IF('영어 단어장'!C387="","",'영어 단어장'!C387)</f>
        <v>무효의</v>
      </c>
      <c r="C387" s="11"/>
      <c r="D387" s="21" t="str">
        <f>IF(OR(C387="",'영어 단어장'!B387=""),"",IF(EXACT(LOWER(TRIM(C387)),LOWER(TRIM('영어 단어장'!B387))),"",'영어 단어장'!B387))</f>
        <v/>
      </c>
      <c r="E387" s="15" t="str">
        <f>IF(OR(B387="",C387=""),"",IF(EXACT(LOWER(TRIM(C387)),LOWER(TRIM('영어 단어장'!B387))),"⭕","❌"))</f>
        <v/>
      </c>
      <c r="F387" s="12"/>
    </row>
    <row r="388" spans="1:6" ht="21" x14ac:dyDescent="0.4">
      <c r="A388" s="10">
        <f t="shared" si="6"/>
        <v>387</v>
      </c>
      <c r="B388" s="10" t="str">
        <f>IF('영어 단어장'!C388="","",'영어 단어장'!C388)</f>
        <v>능력, 재능</v>
      </c>
      <c r="C388" s="11"/>
      <c r="D388" s="21" t="str">
        <f>IF(OR(C388="",'영어 단어장'!B388=""),"",IF(EXACT(LOWER(TRIM(C388)),LOWER(TRIM('영어 단어장'!B388))),"",'영어 단어장'!B388))</f>
        <v/>
      </c>
      <c r="E388" s="15" t="str">
        <f>IF(OR(B388="",C388=""),"",IF(EXACT(LOWER(TRIM(C388)),LOWER(TRIM('영어 단어장'!B388))),"⭕","❌"))</f>
        <v/>
      </c>
      <c r="F388" s="12"/>
    </row>
    <row r="389" spans="1:6" ht="21" x14ac:dyDescent="0.4">
      <c r="A389" s="10">
        <f t="shared" si="6"/>
        <v>388</v>
      </c>
      <c r="B389" s="10" t="str">
        <f>IF('영어 단어장'!C389="","",'영어 단어장'!C389)</f>
        <v>재능, 적성</v>
      </c>
      <c r="C389" s="11"/>
      <c r="D389" s="21" t="str">
        <f>IF(OR(C389="",'영어 단어장'!B389=""),"",IF(EXACT(LOWER(TRIM(C389)),LOWER(TRIM('영어 단어장'!B389))),"",'영어 단어장'!B389))</f>
        <v/>
      </c>
      <c r="E389" s="15" t="str">
        <f>IF(OR(B389="",C389=""),"",IF(EXACT(LOWER(TRIM(C389)),LOWER(TRIM('영어 단어장'!B389))),"⭕","❌"))</f>
        <v/>
      </c>
      <c r="F389" s="12"/>
    </row>
    <row r="390" spans="1:6" ht="21" x14ac:dyDescent="0.4">
      <c r="A390" s="10">
        <f t="shared" si="6"/>
        <v>389</v>
      </c>
      <c r="B390" s="10" t="str">
        <f>IF('영어 단어장'!C390="","",'영어 단어장'!C390)</f>
        <v>철수, 제거</v>
      </c>
      <c r="C390" s="11"/>
      <c r="D390" s="21" t="str">
        <f>IF(OR(C390="",'영어 단어장'!B390=""),"",IF(EXACT(LOWER(TRIM(C390)),LOWER(TRIM('영어 단어장'!B390))),"",'영어 단어장'!B390))</f>
        <v/>
      </c>
      <c r="E390" s="15" t="str">
        <f>IF(OR(B390="",C390=""),"",IF(EXACT(LOWER(TRIM(C390)),LOWER(TRIM('영어 단어장'!B390))),"⭕","❌"))</f>
        <v/>
      </c>
      <c r="F390" s="12"/>
    </row>
    <row r="391" spans="1:6" ht="21" x14ac:dyDescent="0.4">
      <c r="A391" s="10">
        <f t="shared" si="6"/>
        <v>390</v>
      </c>
      <c r="B391" s="10" t="str">
        <f>IF('영어 단어장'!C391="","",'영어 단어장'!C391)</f>
        <v>무효로 하다, 폐지하다</v>
      </c>
      <c r="C391" s="11"/>
      <c r="D391" s="21" t="str">
        <f>IF(OR(C391="",'영어 단어장'!B391=""),"",IF(EXACT(LOWER(TRIM(C391)),LOWER(TRIM('영어 단어장'!B391))),"",'영어 단어장'!B391))</f>
        <v/>
      </c>
      <c r="E391" s="15" t="str">
        <f>IF(OR(B391="",C391=""),"",IF(EXACT(LOWER(TRIM(C391)),LOWER(TRIM('영어 단어장'!B391))),"⭕","❌"))</f>
        <v/>
      </c>
      <c r="F391" s="12"/>
    </row>
    <row r="392" spans="1:6" ht="21" x14ac:dyDescent="0.4">
      <c r="A392" s="10">
        <f t="shared" si="6"/>
        <v>391</v>
      </c>
      <c r="B392" s="10" t="str">
        <f>IF('영어 단어장'!C392="","",'영어 단어장'!C392)</f>
        <v>용서하다, 면제하다</v>
      </c>
      <c r="C392" s="11"/>
      <c r="D392" s="21" t="str">
        <f>IF(OR(C392="",'영어 단어장'!B392=""),"",IF(EXACT(LOWER(TRIM(C392)),LOWER(TRIM('영어 단어장'!B392))),"",'영어 단어장'!B392))</f>
        <v/>
      </c>
      <c r="E392" s="15" t="str">
        <f>IF(OR(B392="",C392=""),"",IF(EXACT(LOWER(TRIM(C392)),LOWER(TRIM('영어 단어장'!B392))),"⭕","❌"))</f>
        <v/>
      </c>
      <c r="F392" s="12"/>
    </row>
    <row r="393" spans="1:6" ht="21" x14ac:dyDescent="0.4">
      <c r="A393" s="10">
        <f t="shared" si="6"/>
        <v>392</v>
      </c>
      <c r="B393" s="10" t="str">
        <f>IF('영어 단어장'!C393="","",'영어 단어장'!C393)</f>
        <v>놓아주다, 석방하다</v>
      </c>
      <c r="C393" s="11"/>
      <c r="D393" s="21" t="str">
        <f>IF(OR(C393="",'영어 단어장'!B393=""),"",IF(EXACT(LOWER(TRIM(C393)),LOWER(TRIM('영어 단어장'!B393))),"",'영어 단어장'!B393))</f>
        <v/>
      </c>
      <c r="E393" s="15" t="str">
        <f>IF(OR(B393="",C393=""),"",IF(EXACT(LOWER(TRIM(C393)),LOWER(TRIM('영어 단어장'!B393))),"⭕","❌"))</f>
        <v/>
      </c>
      <c r="F393" s="12"/>
    </row>
    <row r="394" spans="1:6" ht="21" x14ac:dyDescent="0.4">
      <c r="A394" s="10">
        <f t="shared" si="6"/>
        <v>393</v>
      </c>
      <c r="B394" s="10" t="str">
        <f>IF('영어 단어장'!C394="","",'영어 단어장'!C394)</f>
        <v>용서하다, 사면하다</v>
      </c>
      <c r="C394" s="11"/>
      <c r="D394" s="21" t="str">
        <f>IF(OR(C394="",'영어 단어장'!B394=""),"",IF(EXACT(LOWER(TRIM(C394)),LOWER(TRIM('영어 단어장'!B394))),"",'영어 단어장'!B394))</f>
        <v/>
      </c>
      <c r="E394" s="15" t="str">
        <f>IF(OR(B394="",C394=""),"",IF(EXACT(LOWER(TRIM(C394)),LOWER(TRIM('영어 단어장'!B394))),"⭕","❌"))</f>
        <v/>
      </c>
      <c r="F394" s="12"/>
    </row>
    <row r="395" spans="1:6" ht="21" x14ac:dyDescent="0.4">
      <c r="A395" s="10">
        <f t="shared" si="6"/>
        <v>394</v>
      </c>
      <c r="B395" s="10" t="str">
        <f>IF('영어 단어장'!C395="","",'영어 단어장'!C395)</f>
        <v>면제하다</v>
      </c>
      <c r="C395" s="11"/>
      <c r="D395" s="21" t="str">
        <f>IF(OR(C395="",'영어 단어장'!B395=""),"",IF(EXACT(LOWER(TRIM(C395)),LOWER(TRIM('영어 단어장'!B395))),"",'영어 단어장'!B395))</f>
        <v/>
      </c>
      <c r="E395" s="15" t="str">
        <f>IF(OR(B395="",C395=""),"",IF(EXACT(LOWER(TRIM(C395)),LOWER(TRIM('영어 단어장'!B395))),"⭕","❌"))</f>
        <v/>
      </c>
      <c r="F395" s="12"/>
    </row>
    <row r="396" spans="1:6" ht="21" x14ac:dyDescent="0.4">
      <c r="A396" s="10">
        <f t="shared" si="6"/>
        <v>395</v>
      </c>
      <c r="B396" s="10" t="str">
        <f>IF('영어 단어장'!C396="","",'영어 단어장'!C396)</f>
        <v>면제하다</v>
      </c>
      <c r="C396" s="11"/>
      <c r="D396" s="21" t="str">
        <f>IF(OR(C396="",'영어 단어장'!B396=""),"",IF(EXACT(LOWER(TRIM(C396)),LOWER(TRIM('영어 단어장'!B396))),"",'영어 단어장'!B396))</f>
        <v/>
      </c>
      <c r="E396" s="15" t="str">
        <f>IF(OR(B396="",C396=""),"",IF(EXACT(LOWER(TRIM(C396)),LOWER(TRIM('영어 단어장'!B396))),"⭕","❌"))</f>
        <v/>
      </c>
      <c r="F396" s="12"/>
    </row>
    <row r="397" spans="1:6" ht="21" x14ac:dyDescent="0.4">
      <c r="A397" s="10">
        <f t="shared" si="6"/>
        <v>396</v>
      </c>
      <c r="B397" s="10" t="str">
        <f>IF('영어 단어장'!C397="","",'영어 단어장'!C397)</f>
        <v>자유</v>
      </c>
      <c r="C397" s="11"/>
      <c r="D397" s="21" t="str">
        <f>IF(OR(C397="",'영어 단어장'!B397=""),"",IF(EXACT(LOWER(TRIM(C397)),LOWER(TRIM('영어 단어장'!B397))),"",'영어 단어장'!B397))</f>
        <v/>
      </c>
      <c r="E397" s="15" t="str">
        <f>IF(OR(B397="",C397=""),"",IF(EXACT(LOWER(TRIM(C397)),LOWER(TRIM('영어 단어장'!B397))),"⭕","❌"))</f>
        <v/>
      </c>
      <c r="F397" s="12"/>
    </row>
    <row r="398" spans="1:6" ht="21" x14ac:dyDescent="0.4">
      <c r="A398" s="10">
        <f t="shared" si="6"/>
        <v>397</v>
      </c>
      <c r="B398" s="10" t="str">
        <f>IF('영어 단어장'!C398="","",'영어 단어장'!C398)</f>
        <v>자유롭게 하다</v>
      </c>
      <c r="C398" s="11"/>
      <c r="D398" s="21" t="str">
        <f>IF(OR(C398="",'영어 단어장'!B398=""),"",IF(EXACT(LOWER(TRIM(C398)),LOWER(TRIM('영어 단어장'!B398))),"",'영어 단어장'!B398))</f>
        <v/>
      </c>
      <c r="E398" s="15" t="str">
        <f>IF(OR(B398="",C398=""),"",IF(EXACT(LOWER(TRIM(C398)),LOWER(TRIM('영어 단어장'!B398))),"⭕","❌"))</f>
        <v/>
      </c>
      <c r="F398" s="12"/>
    </row>
    <row r="399" spans="1:6" ht="21" x14ac:dyDescent="0.4">
      <c r="A399" s="10">
        <f t="shared" si="6"/>
        <v>398</v>
      </c>
      <c r="B399" s="10" t="str">
        <f>IF('영어 단어장'!C399="","",'영어 단어장'!C399)</f>
        <v>풀다</v>
      </c>
      <c r="C399" s="11"/>
      <c r="D399" s="21" t="str">
        <f>IF(OR(C399="",'영어 단어장'!B399=""),"",IF(EXACT(LOWER(TRIM(C399)),LOWER(TRIM('영어 단어장'!B399))),"",'영어 단어장'!B399))</f>
        <v/>
      </c>
      <c r="E399" s="15" t="str">
        <f>IF(OR(B399="",C399=""),"",IF(EXACT(LOWER(TRIM(C399)),LOWER(TRIM('영어 단어장'!B399))),"⭕","❌"))</f>
        <v/>
      </c>
      <c r="F399" s="12"/>
    </row>
    <row r="400" spans="1:6" ht="21" x14ac:dyDescent="0.4">
      <c r="A400" s="10">
        <f t="shared" si="6"/>
        <v>399</v>
      </c>
      <c r="B400" s="10" t="str">
        <f>IF('영어 단어장'!C400="","",'영어 단어장'!C400)</f>
        <v>해방하다</v>
      </c>
      <c r="C400" s="11"/>
      <c r="D400" s="21" t="str">
        <f>IF(OR(C400="",'영어 단어장'!B400=""),"",IF(EXACT(LOWER(TRIM(C400)),LOWER(TRIM('영어 단어장'!B400))),"",'영어 단어장'!B400))</f>
        <v/>
      </c>
      <c r="E400" s="15" t="str">
        <f>IF(OR(B400="",C400=""),"",IF(EXACT(LOWER(TRIM(C400)),LOWER(TRIM('영어 단어장'!B400))),"⭕","❌"))</f>
        <v/>
      </c>
      <c r="F400" s="12"/>
    </row>
    <row r="401" spans="1:6" ht="21" x14ac:dyDescent="0.4">
      <c r="A401" s="10">
        <f t="shared" si="6"/>
        <v>400</v>
      </c>
      <c r="B401" s="10" t="str">
        <f>IF('영어 단어장'!C401="","",'영어 단어장'!C401)</f>
        <v>해방, 이탈</v>
      </c>
      <c r="C401" s="11"/>
      <c r="D401" s="21" t="str">
        <f>IF(OR(C401="",'영어 단어장'!B401=""),"",IF(EXACT(LOWER(TRIM(C401)),LOWER(TRIM('영어 단어장'!B401))),"",'영어 단어장'!B401))</f>
        <v/>
      </c>
      <c r="E401" s="15" t="str">
        <f>IF(OR(B401="",C401=""),"",IF(EXACT(LOWER(TRIM(C401)),LOWER(TRIM('영어 단어장'!B401))),"⭕","❌"))</f>
        <v/>
      </c>
      <c r="F401" s="12"/>
    </row>
    <row r="402" spans="1:6" ht="21" x14ac:dyDescent="0.4">
      <c r="A402" s="10">
        <f t="shared" si="6"/>
        <v>401</v>
      </c>
      <c r="B402" s="10" t="str">
        <f>IF('영어 단어장'!C402="","",'영어 단어장'!C402)</f>
        <v>어리석은, 불합리한</v>
      </c>
      <c r="C402" s="11"/>
      <c r="D402" s="21" t="str">
        <f>IF(OR(C402="",'영어 단어장'!B402=""),"",IF(EXACT(LOWER(TRIM(C402)),LOWER(TRIM('영어 단어장'!B402))),"",'영어 단어장'!B402))</f>
        <v/>
      </c>
      <c r="E402" s="15" t="str">
        <f>IF(OR(B402="",C402=""),"",IF(EXACT(LOWER(TRIM(C402)),LOWER(TRIM('영어 단어장'!B402))),"⭕","❌"))</f>
        <v/>
      </c>
      <c r="F402" s="12"/>
    </row>
    <row r="403" spans="1:6" ht="21" x14ac:dyDescent="0.4">
      <c r="A403" s="10">
        <f t="shared" si="6"/>
        <v>402</v>
      </c>
      <c r="B403" s="10" t="str">
        <f>IF('영어 단어장'!C403="","",'영어 단어장'!C403)</f>
        <v>어리석은</v>
      </c>
      <c r="C403" s="11"/>
      <c r="D403" s="21" t="str">
        <f>IF(OR(C403="",'영어 단어장'!B403=""),"",IF(EXACT(LOWER(TRIM(C403)),LOWER(TRIM('영어 단어장'!B403))),"",'영어 단어장'!B403))</f>
        <v/>
      </c>
      <c r="E403" s="15" t="str">
        <f>IF(OR(B403="",C403=""),"",IF(EXACT(LOWER(TRIM(C403)),LOWER(TRIM('영어 단어장'!B403))),"⭕","❌"))</f>
        <v/>
      </c>
      <c r="F403" s="12"/>
    </row>
    <row r="404" spans="1:6" ht="21" x14ac:dyDescent="0.4">
      <c r="A404" s="10">
        <f t="shared" si="6"/>
        <v>403</v>
      </c>
      <c r="B404" s="10" t="str">
        <f>IF('영어 단어장'!C404="","",'영어 단어장'!C404)</f>
        <v>우둔한, 지루한</v>
      </c>
      <c r="C404" s="11"/>
      <c r="D404" s="21" t="str">
        <f>IF(OR(C404="",'영어 단어장'!B404=""),"",IF(EXACT(LOWER(TRIM(C404)),LOWER(TRIM('영어 단어장'!B404))),"",'영어 단어장'!B404))</f>
        <v/>
      </c>
      <c r="E404" s="15" t="str">
        <f>IF(OR(B404="",C404=""),"",IF(EXACT(LOWER(TRIM(C404)),LOWER(TRIM('영어 단어장'!B404))),"⭕","❌"))</f>
        <v/>
      </c>
      <c r="F404" s="12"/>
    </row>
    <row r="405" spans="1:6" ht="21" x14ac:dyDescent="0.4">
      <c r="A405" s="10">
        <f t="shared" si="6"/>
        <v>404</v>
      </c>
      <c r="B405" s="10" t="str">
        <f>IF('영어 단어장'!C405="","",'영어 단어장'!C405)</f>
        <v>어리석은</v>
      </c>
      <c r="C405" s="11"/>
      <c r="D405" s="21" t="str">
        <f>IF(OR(C405="",'영어 단어장'!B405=""),"",IF(EXACT(LOWER(TRIM(C405)),LOWER(TRIM('영어 단어장'!B405))),"",'영어 단어장'!B405))</f>
        <v/>
      </c>
      <c r="E405" s="15" t="str">
        <f>IF(OR(B405="",C405=""),"",IF(EXACT(LOWER(TRIM(C405)),LOWER(TRIM('영어 단어장'!B405))),"⭕","❌"))</f>
        <v/>
      </c>
      <c r="F405" s="12"/>
    </row>
    <row r="406" spans="1:6" ht="21" x14ac:dyDescent="0.4">
      <c r="A406" s="10">
        <f t="shared" si="6"/>
        <v>405</v>
      </c>
      <c r="B406" s="10" t="str">
        <f>IF('영어 단어장'!C406="","",'영어 단어장'!C406)</f>
        <v>바보짓</v>
      </c>
      <c r="C406" s="11"/>
      <c r="D406" s="21" t="str">
        <f>IF(OR(C406="",'영어 단어장'!B406=""),"",IF(EXACT(LOWER(TRIM(C406)),LOWER(TRIM('영어 단어장'!B406))),"",'영어 단어장'!B406))</f>
        <v/>
      </c>
      <c r="E406" s="15" t="str">
        <f>IF(OR(B406="",C406=""),"",IF(EXACT(LOWER(TRIM(C406)),LOWER(TRIM('영어 단어장'!B406))),"⭕","❌"))</f>
        <v/>
      </c>
      <c r="F406" s="12"/>
    </row>
    <row r="407" spans="1:6" ht="21" x14ac:dyDescent="0.4">
      <c r="A407" s="10">
        <f t="shared" si="6"/>
        <v>406</v>
      </c>
      <c r="B407" s="10" t="str">
        <f>IF('영어 단어장'!C407="","",'영어 단어장'!C407)</f>
        <v>범하다/저지르다, 위탁하다</v>
      </c>
      <c r="C407" s="11"/>
      <c r="D407" s="21" t="str">
        <f>IF(OR(C407="",'영어 단어장'!B407=""),"",IF(EXACT(LOWER(TRIM(C407)),LOWER(TRIM('영어 단어장'!B407))),"",'영어 단어장'!B407))</f>
        <v/>
      </c>
      <c r="E407" s="15" t="str">
        <f>IF(OR(B407="",C407=""),"",IF(EXACT(LOWER(TRIM(C407)),LOWER(TRIM('영어 단어장'!B407))),"⭕","❌"))</f>
        <v/>
      </c>
      <c r="F407" s="12"/>
    </row>
    <row r="408" spans="1:6" ht="21" x14ac:dyDescent="0.4">
      <c r="A408" s="10">
        <f t="shared" si="6"/>
        <v>407</v>
      </c>
      <c r="B408" s="10" t="str">
        <f>IF('영어 단어장'!C408="","",'영어 단어장'!C408)</f>
        <v>이성적인, 합리적인</v>
      </c>
      <c r="C408" s="11"/>
      <c r="D408" s="21" t="str">
        <f>IF(OR(C408="",'영어 단어장'!B408=""),"",IF(EXACT(LOWER(TRIM(C408)),LOWER(TRIM('영어 단어장'!B408))),"",'영어 단어장'!B408))</f>
        <v/>
      </c>
      <c r="E408" s="15" t="str">
        <f>IF(OR(B408="",C408=""),"",IF(EXACT(LOWER(TRIM(C408)),LOWER(TRIM('영어 단어장'!B408))),"⭕","❌"))</f>
        <v/>
      </c>
      <c r="F408" s="12"/>
    </row>
    <row r="409" spans="1:6" ht="21" x14ac:dyDescent="0.4">
      <c r="A409" s="10">
        <f t="shared" si="6"/>
        <v>408</v>
      </c>
      <c r="B409" s="10" t="str">
        <f>IF('영어 단어장'!C409="","",'영어 단어장'!C409)</f>
        <v>존재, 생물</v>
      </c>
      <c r="C409" s="11"/>
      <c r="D409" s="21" t="str">
        <f>IF(OR(C409="",'영어 단어장'!B409=""),"",IF(EXACT(LOWER(TRIM(C409)),LOWER(TRIM('영어 단어장'!B409))),"",'영어 단어장'!B409))</f>
        <v/>
      </c>
      <c r="E409" s="15" t="str">
        <f>IF(OR(B409="",C409=""),"",IF(EXACT(LOWER(TRIM(C409)),LOWER(TRIM('영어 단어장'!B409))),"⭕","❌"))</f>
        <v/>
      </c>
      <c r="F409" s="12"/>
    </row>
    <row r="410" spans="1:6" ht="21" x14ac:dyDescent="0.4">
      <c r="A410" s="10">
        <f t="shared" si="6"/>
        <v>409</v>
      </c>
      <c r="B410" s="10" t="str">
        <f>IF('영어 단어장'!C410="","",'영어 단어장'!C410)</f>
        <v>계승, 연속, 계속</v>
      </c>
      <c r="C410" s="11"/>
      <c r="D410" s="21" t="str">
        <f>IF(OR(C410="",'영어 단어장'!B410=""),"",IF(EXACT(LOWER(TRIM(C410)),LOWER(TRIM('영어 단어장'!B410))),"",'영어 단어장'!B410))</f>
        <v/>
      </c>
      <c r="E410" s="15" t="str">
        <f>IF(OR(B410="",C410=""),"",IF(EXACT(LOWER(TRIM(C410)),LOWER(TRIM('영어 단어장'!B410))),"⭕","❌"))</f>
        <v/>
      </c>
      <c r="F410" s="12"/>
    </row>
    <row r="411" spans="1:6" ht="21" x14ac:dyDescent="0.4">
      <c r="A411" s="10">
        <f t="shared" si="6"/>
        <v>410</v>
      </c>
      <c r="B411" s="10" t="str">
        <f>IF('영어 단어장'!C411="","",'영어 단어장'!C411)</f>
        <v>이해하다</v>
      </c>
      <c r="C411" s="11"/>
      <c r="D411" s="21" t="str">
        <f>IF(OR(C411="",'영어 단어장'!B411=""),"",IF(EXACT(LOWER(TRIM(C411)),LOWER(TRIM('영어 단어장'!B411))),"",'영어 단어장'!B411))</f>
        <v/>
      </c>
      <c r="E411" s="15" t="str">
        <f>IF(OR(B411="",C411=""),"",IF(EXACT(LOWER(TRIM(C411)),LOWER(TRIM('영어 단어장'!B411))),"⭕","❌"))</f>
        <v/>
      </c>
      <c r="F411" s="12"/>
    </row>
    <row r="412" spans="1:6" ht="21" x14ac:dyDescent="0.4">
      <c r="A412" s="10">
        <f t="shared" si="6"/>
        <v>411</v>
      </c>
      <c r="B412" s="10" t="str">
        <f>IF('영어 단어장'!C412="","",'영어 단어장'!C412)</f>
        <v>상냥하게, 부드럽게</v>
      </c>
      <c r="C412" s="11"/>
      <c r="D412" s="21" t="str">
        <f>IF(OR(C412="",'영어 단어장'!B412=""),"",IF(EXACT(LOWER(TRIM(C412)),LOWER(TRIM('영어 단어장'!B412))),"",'영어 단어장'!B412))</f>
        <v/>
      </c>
      <c r="E412" s="15" t="str">
        <f>IF(OR(B412="",C412=""),"",IF(EXACT(LOWER(TRIM(C412)),LOWER(TRIM('영어 단어장'!B412))),"⭕","❌"))</f>
        <v/>
      </c>
      <c r="F412" s="12"/>
    </row>
    <row r="413" spans="1:6" ht="21" x14ac:dyDescent="0.4">
      <c r="A413" s="10">
        <f t="shared" si="6"/>
        <v>412</v>
      </c>
      <c r="B413" s="10" t="str">
        <f>IF('영어 단어장'!C413="","",'영어 단어장'!C413)</f>
        <v>친절한, 온화로운</v>
      </c>
      <c r="C413" s="11"/>
      <c r="D413" s="21" t="str">
        <f>IF(OR(C413="",'영어 단어장'!B413=""),"",IF(EXACT(LOWER(TRIM(C413)),LOWER(TRIM('영어 단어장'!B413))),"",'영어 단어장'!B413))</f>
        <v/>
      </c>
      <c r="E413" s="15" t="str">
        <f>IF(OR(B413="",C413=""),"",IF(EXACT(LOWER(TRIM(C413)),LOWER(TRIM('영어 단어장'!B413))),"⭕","❌"))</f>
        <v/>
      </c>
      <c r="F413" s="12"/>
    </row>
    <row r="414" spans="1:6" ht="21" x14ac:dyDescent="0.4">
      <c r="A414" s="10">
        <f t="shared" si="6"/>
        <v>413</v>
      </c>
      <c r="B414" s="10" t="str">
        <f>IF('영어 단어장'!C414="","",'영어 단어장'!C414)</f>
        <v>맞춰살다, 실현하다</v>
      </c>
      <c r="C414" s="11"/>
      <c r="D414" s="21" t="str">
        <f>IF(OR(C414="",'영어 단어장'!B414=""),"",IF(EXACT(LOWER(TRIM(C414)),LOWER(TRIM('영어 단어장'!B414))),"",'영어 단어장'!B414))</f>
        <v/>
      </c>
      <c r="E414" s="15" t="str">
        <f>IF(OR(B414="",C414=""),"",IF(EXACT(LOWER(TRIM(C414)),LOWER(TRIM('영어 단어장'!B414))),"⭕","❌"))</f>
        <v/>
      </c>
      <c r="F414" s="12"/>
    </row>
    <row r="415" spans="1:6" ht="21" x14ac:dyDescent="0.4">
      <c r="A415" s="10">
        <f t="shared" si="6"/>
        <v>414</v>
      </c>
      <c r="B415" s="10" t="str">
        <f>IF('영어 단어장'!C415="","",'영어 단어장'!C415)</f>
        <v>중재, 조정</v>
      </c>
      <c r="C415" s="11"/>
      <c r="D415" s="21" t="str">
        <f>IF(OR(C415="",'영어 단어장'!B415=""),"",IF(EXACT(LOWER(TRIM(C415)),LOWER(TRIM('영어 단어장'!B415))),"",'영어 단어장'!B415))</f>
        <v/>
      </c>
      <c r="E415" s="15" t="str">
        <f>IF(OR(B415="",C415=""),"",IF(EXACT(LOWER(TRIM(C415)),LOWER(TRIM('영어 단어장'!B415))),"⭕","❌"))</f>
        <v/>
      </c>
      <c r="F415" s="12"/>
    </row>
    <row r="416" spans="1:6" ht="21" x14ac:dyDescent="0.4">
      <c r="A416" s="10">
        <f t="shared" si="6"/>
        <v>415</v>
      </c>
      <c r="B416" s="10" t="str">
        <f>IF('영어 단어장'!C416="","",'영어 단어장'!C416)</f>
        <v>고유의, 토착의</v>
      </c>
      <c r="C416" s="11"/>
      <c r="D416" s="21" t="str">
        <f>IF(OR(C416="",'영어 단어장'!B416=""),"",IF(EXACT(LOWER(TRIM(C416)),LOWER(TRIM('영어 단어장'!B416))),"",'영어 단어장'!B416))</f>
        <v/>
      </c>
      <c r="E416" s="15" t="str">
        <f>IF(OR(B416="",C416=""),"",IF(EXACT(LOWER(TRIM(C416)),LOWER(TRIM('영어 단어장'!B416))),"⭕","❌"))</f>
        <v/>
      </c>
      <c r="F416" s="12"/>
    </row>
    <row r="417" spans="1:6" ht="21" x14ac:dyDescent="0.4">
      <c r="A417" s="10">
        <f t="shared" si="6"/>
        <v>416</v>
      </c>
      <c r="B417" s="10" t="str">
        <f>IF('영어 단어장'!C417="","",'영어 단어장'!C417)</f>
        <v>공정한, 공평한, 박람회</v>
      </c>
      <c r="C417" s="11"/>
      <c r="D417" s="21" t="str">
        <f>IF(OR(C417="",'영어 단어장'!B417=""),"",IF(EXACT(LOWER(TRIM(C417)),LOWER(TRIM('영어 단어장'!B417))),"",'영어 단어장'!B417))</f>
        <v/>
      </c>
      <c r="E417" s="15" t="str">
        <f>IF(OR(B417="",C417=""),"",IF(EXACT(LOWER(TRIM(C417)),LOWER(TRIM('영어 단어장'!B417))),"⭕","❌"))</f>
        <v/>
      </c>
      <c r="F417" s="12"/>
    </row>
    <row r="418" spans="1:6" ht="21" x14ac:dyDescent="0.4">
      <c r="A418" s="10">
        <f t="shared" si="6"/>
        <v>417</v>
      </c>
      <c r="B418" s="10" t="str">
        <f>IF('영어 단어장'!C418="","",'영어 단어장'!C418)</f>
        <v>~에 대한, 반대로</v>
      </c>
      <c r="C418" s="11"/>
      <c r="D418" s="21" t="str">
        <f>IF(OR(C418="",'영어 단어장'!B418=""),"",IF(EXACT(LOWER(TRIM(C418)),LOWER(TRIM('영어 단어장'!B418))),"",'영어 단어장'!B418))</f>
        <v/>
      </c>
      <c r="E418" s="15" t="str">
        <f>IF(OR(B418="",C418=""),"",IF(EXACT(LOWER(TRIM(C418)),LOWER(TRIM('영어 단어장'!B418))),"⭕","❌"))</f>
        <v/>
      </c>
      <c r="F418" s="12"/>
    </row>
    <row r="419" spans="1:6" ht="21" x14ac:dyDescent="0.4">
      <c r="A419" s="10">
        <f t="shared" si="6"/>
        <v>418</v>
      </c>
      <c r="B419" s="10" t="str">
        <f>IF('영어 단어장'!C419="","",'영어 단어장'!C419)</f>
        <v>힘든, 어려운</v>
      </c>
      <c r="C419" s="11"/>
      <c r="D419" s="21" t="str">
        <f>IF(OR(C419="",'영어 단어장'!B419=""),"",IF(EXACT(LOWER(TRIM(C419)),LOWER(TRIM('영어 단어장'!B419))),"",'영어 단어장'!B419))</f>
        <v/>
      </c>
      <c r="E419" s="15" t="str">
        <f>IF(OR(B419="",C419=""),"",IF(EXACT(LOWER(TRIM(C419)),LOWER(TRIM('영어 단어장'!B419))),"⭕","❌"))</f>
        <v/>
      </c>
      <c r="F419" s="12"/>
    </row>
    <row r="420" spans="1:6" ht="21" x14ac:dyDescent="0.4">
      <c r="A420" s="10">
        <f t="shared" si="6"/>
        <v>419</v>
      </c>
      <c r="B420" s="10" t="str">
        <f>IF('영어 단어장'!C420="","",'영어 단어장'!C420)</f>
        <v>잔인한, 폭력적인</v>
      </c>
      <c r="C420" s="11"/>
      <c r="D420" s="21" t="str">
        <f>IF(OR(C420="",'영어 단어장'!B420=""),"",IF(EXACT(LOWER(TRIM(C420)),LOWER(TRIM('영어 단어장'!B420))),"",'영어 단어장'!B420))</f>
        <v/>
      </c>
      <c r="E420" s="15" t="str">
        <f>IF(OR(B420="",C420=""),"",IF(EXACT(LOWER(TRIM(C420)),LOWER(TRIM('영어 단어장'!B420))),"⭕","❌"))</f>
        <v/>
      </c>
      <c r="F420" s="12"/>
    </row>
    <row r="421" spans="1:6" ht="21" x14ac:dyDescent="0.4">
      <c r="A421" s="10">
        <f t="shared" si="6"/>
        <v>420</v>
      </c>
      <c r="B421" s="10" t="str">
        <f>IF('영어 단어장'!C421="","",'영어 단어장'!C421)</f>
        <v>불법적인</v>
      </c>
      <c r="C421" s="11"/>
      <c r="D421" s="21" t="str">
        <f>IF(OR(C421="",'영어 단어장'!B421=""),"",IF(EXACT(LOWER(TRIM(C421)),LOWER(TRIM('영어 단어장'!B421))),"",'영어 단어장'!B421))</f>
        <v/>
      </c>
      <c r="E421" s="15" t="str">
        <f>IF(OR(B421="",C421=""),"",IF(EXACT(LOWER(TRIM(C421)),LOWER(TRIM('영어 단어장'!B421))),"⭕","❌"))</f>
        <v/>
      </c>
      <c r="F421" s="12"/>
    </row>
    <row r="422" spans="1:6" ht="21" x14ac:dyDescent="0.4">
      <c r="A422" s="10">
        <f t="shared" si="6"/>
        <v>421</v>
      </c>
      <c r="B422" s="10" t="str">
        <f>IF('영어 단어장'!C422="","",'영어 단어장'!C422)</f>
        <v>미적분</v>
      </c>
      <c r="C422" s="11"/>
      <c r="D422" s="21" t="str">
        <f>IF(OR(C422="",'영어 단어장'!B422=""),"",IF(EXACT(LOWER(TRIM(C422)),LOWER(TRIM('영어 단어장'!B422))),"",'영어 단어장'!B422))</f>
        <v/>
      </c>
      <c r="E422" s="15" t="str">
        <f>IF(OR(B422="",C422=""),"",IF(EXACT(LOWER(TRIM(C422)),LOWER(TRIM('영어 단어장'!B422))),"⭕","❌"))</f>
        <v/>
      </c>
      <c r="F422" s="12"/>
    </row>
    <row r="423" spans="1:6" ht="21" x14ac:dyDescent="0.4">
      <c r="A423" s="10">
        <f t="shared" si="6"/>
        <v>422</v>
      </c>
      <c r="B423" s="10" t="str">
        <f>IF('영어 단어장'!C423="","",'영어 단어장'!C423)</f>
        <v>지갑, 가방</v>
      </c>
      <c r="C423" s="11"/>
      <c r="D423" s="21" t="str">
        <f>IF(OR(C423="",'영어 단어장'!B423=""),"",IF(EXACT(LOWER(TRIM(C423)),LOWER(TRIM('영어 단어장'!B423))),"",'영어 단어장'!B423))</f>
        <v/>
      </c>
      <c r="E423" s="15" t="str">
        <f>IF(OR(B423="",C423=""),"",IF(EXACT(LOWER(TRIM(C423)),LOWER(TRIM('영어 단어장'!B423))),"⭕","❌"))</f>
        <v/>
      </c>
      <c r="F423" s="12"/>
    </row>
    <row r="424" spans="1:6" ht="21" x14ac:dyDescent="0.4">
      <c r="A424" s="10">
        <f t="shared" si="6"/>
        <v>423</v>
      </c>
      <c r="B424" s="10" t="str">
        <f>IF('영어 단어장'!C424="","",'영어 단어장'!C424)</f>
        <v>넓은, 광범위한</v>
      </c>
      <c r="C424" s="11"/>
      <c r="D424" s="21" t="str">
        <f>IF(OR(C424="",'영어 단어장'!B424=""),"",IF(EXACT(LOWER(TRIM(C424)),LOWER(TRIM('영어 단어장'!B424))),"",'영어 단어장'!B424))</f>
        <v/>
      </c>
      <c r="E424" s="15" t="str">
        <f>IF(OR(B424="",C424=""),"",IF(EXACT(LOWER(TRIM(C424)),LOWER(TRIM('영어 단어장'!B424))),"⭕","❌"))</f>
        <v/>
      </c>
      <c r="F424" s="12"/>
    </row>
    <row r="425" spans="1:6" ht="21" x14ac:dyDescent="0.4">
      <c r="A425" s="10">
        <f t="shared" si="6"/>
        <v>424</v>
      </c>
      <c r="B425" s="10" t="str">
        <f>IF('영어 단어장'!C425="","",'영어 단어장'!C425)</f>
        <v>사기, 부정</v>
      </c>
      <c r="C425" s="11"/>
      <c r="D425" s="21" t="str">
        <f>IF(OR(C425="",'영어 단어장'!B425=""),"",IF(EXACT(LOWER(TRIM(C425)),LOWER(TRIM('영어 단어장'!B425))),"",'영어 단어장'!B425))</f>
        <v/>
      </c>
      <c r="E425" s="15" t="str">
        <f>IF(OR(B425="",C425=""),"",IF(EXACT(LOWER(TRIM(C425)),LOWER(TRIM('영어 단어장'!B425))),"⭕","❌"))</f>
        <v/>
      </c>
      <c r="F425" s="12"/>
    </row>
    <row r="426" spans="1:6" ht="21" x14ac:dyDescent="0.4">
      <c r="A426" s="10">
        <f t="shared" si="6"/>
        <v>425</v>
      </c>
      <c r="B426" s="10" t="str">
        <f>IF('영어 단어장'!C426="","",'영어 단어장'!C426)</f>
        <v>배심, 심사위원</v>
      </c>
      <c r="C426" s="11"/>
      <c r="D426" s="21" t="str">
        <f>IF(OR(C426="",'영어 단어장'!B426=""),"",IF(EXACT(LOWER(TRIM(C426)),LOWER(TRIM('영어 단어장'!B426))),"",'영어 단어장'!B426))</f>
        <v/>
      </c>
      <c r="E426" s="15" t="str">
        <f>IF(OR(B426="",C426=""),"",IF(EXACT(LOWER(TRIM(C426)),LOWER(TRIM('영어 단어장'!B426))),"⭕","❌"))</f>
        <v/>
      </c>
      <c r="F426" s="12"/>
    </row>
    <row r="427" spans="1:6" ht="21" x14ac:dyDescent="0.4">
      <c r="A427" s="10">
        <f t="shared" si="6"/>
        <v>426</v>
      </c>
      <c r="B427" s="10" t="str">
        <f>IF('영어 단어장'!C427="","",'영어 단어장'!C427)</f>
        <v>피고인, 피고</v>
      </c>
      <c r="C427" s="11"/>
      <c r="D427" s="21" t="str">
        <f>IF(OR(C427="",'영어 단어장'!B427=""),"",IF(EXACT(LOWER(TRIM(C427)),LOWER(TRIM('영어 단어장'!B427))),"",'영어 단어장'!B427))</f>
        <v/>
      </c>
      <c r="E427" s="15" t="str">
        <f>IF(OR(B427="",C427=""),"",IF(EXACT(LOWER(TRIM(C427)),LOWER(TRIM('영어 단어장'!B427))),"⭕","❌"))</f>
        <v/>
      </c>
      <c r="F427" s="12"/>
    </row>
    <row r="428" spans="1:6" ht="21" x14ac:dyDescent="0.4">
      <c r="A428" s="10">
        <f t="shared" si="6"/>
        <v>427</v>
      </c>
      <c r="B428" s="10" t="str">
        <f>IF('영어 단어장'!C428="","",'영어 단어장'!C428)</f>
        <v>입증하다, ~로 기소하다</v>
      </c>
      <c r="C428" s="11"/>
      <c r="D428" s="21" t="str">
        <f>IF(OR(C428="",'영어 단어장'!B428=""),"",IF(EXACT(LOWER(TRIM(C428)),LOWER(TRIM('영어 단어장'!B428))),"",'영어 단어장'!B428))</f>
        <v/>
      </c>
      <c r="E428" s="15" t="str">
        <f>IF(OR(B428="",C428=""),"",IF(EXACT(LOWER(TRIM(C428)),LOWER(TRIM('영어 단어장'!B428))),"⭕","❌"))</f>
        <v/>
      </c>
      <c r="F428" s="12"/>
    </row>
    <row r="429" spans="1:6" ht="21" x14ac:dyDescent="0.4">
      <c r="A429" s="10">
        <f t="shared" si="6"/>
        <v>428</v>
      </c>
      <c r="B429" s="10" t="str">
        <f>IF('영어 단어장'!C429="","",'영어 단어장'!C429)</f>
        <v>훌륭히, 멋지게</v>
      </c>
      <c r="C429" s="11"/>
      <c r="D429" s="21" t="str">
        <f>IF(OR(C429="",'영어 단어장'!B429=""),"",IF(EXACT(LOWER(TRIM(C429)),LOWER(TRIM('영어 단어장'!B429))),"",'영어 단어장'!B429))</f>
        <v/>
      </c>
      <c r="E429" s="15" t="str">
        <f>IF(OR(B429="",C429=""),"",IF(EXACT(LOWER(TRIM(C429)),LOWER(TRIM('영어 단어장'!B429))),"⭕","❌"))</f>
        <v/>
      </c>
      <c r="F429" s="12"/>
    </row>
    <row r="430" spans="1:6" ht="21" x14ac:dyDescent="0.4">
      <c r="A430" s="10">
        <f t="shared" si="6"/>
        <v>429</v>
      </c>
      <c r="B430" s="10" t="str">
        <f>IF('영어 단어장'!C430="","",'영어 단어장'!C430)</f>
        <v>매듭, 노트</v>
      </c>
      <c r="C430" s="11"/>
      <c r="D430" s="21" t="str">
        <f>IF(OR(C430="",'영어 단어장'!B430=""),"",IF(EXACT(LOWER(TRIM(C430)),LOWER(TRIM('영어 단어장'!B430))),"",'영어 단어장'!B430))</f>
        <v/>
      </c>
      <c r="E430" s="15" t="str">
        <f>IF(OR(B430="",C430=""),"",IF(EXACT(LOWER(TRIM(C430)),LOWER(TRIM('영어 단어장'!B430))),"⭕","❌"))</f>
        <v/>
      </c>
      <c r="F430" s="12"/>
    </row>
    <row r="431" spans="1:6" ht="21" x14ac:dyDescent="0.4">
      <c r="A431" s="10">
        <f t="shared" si="6"/>
        <v>430</v>
      </c>
      <c r="B431" s="10" t="str">
        <f>IF('영어 단어장'!C431="","",'영어 단어장'!C431)</f>
        <v>복직시키다, 명예 회복시키다</v>
      </c>
      <c r="C431" s="11"/>
      <c r="D431" s="21" t="str">
        <f>IF(OR(C431="",'영어 단어장'!B431=""),"",IF(EXACT(LOWER(TRIM(C431)),LOWER(TRIM('영어 단어장'!B431))),"",'영어 단어장'!B431))</f>
        <v/>
      </c>
      <c r="E431" s="15" t="str">
        <f>IF(OR(B431="",C431=""),"",IF(EXACT(LOWER(TRIM(C431)),LOWER(TRIM('영어 단어장'!B431))),"⭕","❌"))</f>
        <v/>
      </c>
      <c r="F431" s="12"/>
    </row>
    <row r="432" spans="1:6" ht="21" x14ac:dyDescent="0.4">
      <c r="A432" s="10">
        <f t="shared" si="6"/>
        <v>431</v>
      </c>
      <c r="B432" s="10" t="str">
        <f>IF('영어 단어장'!C432="","",'영어 단어장'!C432)</f>
        <v>광대함</v>
      </c>
      <c r="C432" s="11"/>
      <c r="D432" s="21" t="str">
        <f>IF(OR(C432="",'영어 단어장'!B432=""),"",IF(EXACT(LOWER(TRIM(C432)),LOWER(TRIM('영어 단어장'!B432))),"",'영어 단어장'!B432))</f>
        <v/>
      </c>
      <c r="E432" s="15" t="str">
        <f>IF(OR(B432="",C432=""),"",IF(EXACT(LOWER(TRIM(C432)),LOWER(TRIM('영어 단어장'!B432))),"⭕","❌"))</f>
        <v/>
      </c>
      <c r="F432" s="12"/>
    </row>
    <row r="433" spans="1:6" ht="21" x14ac:dyDescent="0.4">
      <c r="A433" s="10">
        <f t="shared" si="6"/>
        <v>432</v>
      </c>
      <c r="B433" s="10" t="str">
        <f>IF('영어 단어장'!C433="","",'영어 단어장'!C433)</f>
        <v>재앙, 파국</v>
      </c>
      <c r="C433" s="11"/>
      <c r="D433" s="21" t="str">
        <f>IF(OR(C433="",'영어 단어장'!B433=""),"",IF(EXACT(LOWER(TRIM(C433)),LOWER(TRIM('영어 단어장'!B433))),"",'영어 단어장'!B433))</f>
        <v/>
      </c>
      <c r="E433" s="15" t="str">
        <f>IF(OR(B433="",C433=""),"",IF(EXACT(LOWER(TRIM(C433)),LOWER(TRIM('영어 단어장'!B433))),"⭕","❌"))</f>
        <v/>
      </c>
      <c r="F433" s="12"/>
    </row>
    <row r="434" spans="1:6" ht="21" x14ac:dyDescent="0.4">
      <c r="A434" s="10">
        <f t="shared" si="6"/>
        <v>433</v>
      </c>
      <c r="B434" s="10" t="str">
        <f>IF('영어 단어장'!C434="","",'영어 단어장'!C434)</f>
        <v>역경, 불운</v>
      </c>
      <c r="C434" s="11"/>
      <c r="D434" s="21" t="str">
        <f>IF(OR(C434="",'영어 단어장'!B434=""),"",IF(EXACT(LOWER(TRIM(C434)),LOWER(TRIM('영어 단어장'!B434))),"",'영어 단어장'!B434))</f>
        <v/>
      </c>
      <c r="E434" s="15" t="str">
        <f>IF(OR(B434="",C434=""),"",IF(EXACT(LOWER(TRIM(C434)),LOWER(TRIM('영어 단어장'!B434))),"⭕","❌"))</f>
        <v/>
      </c>
      <c r="F434" s="12"/>
    </row>
    <row r="435" spans="1:6" ht="21" x14ac:dyDescent="0.4">
      <c r="A435" s="10">
        <f t="shared" si="6"/>
        <v>434</v>
      </c>
      <c r="B435" s="10" t="str">
        <f>IF('영어 단어장'!C435="","",'영어 단어장'!C435)</f>
        <v>재난, 불행</v>
      </c>
      <c r="C435" s="11"/>
      <c r="D435" s="21" t="str">
        <f>IF(OR(C435="",'영어 단어장'!B435=""),"",IF(EXACT(LOWER(TRIM(C435)),LOWER(TRIM('영어 단어장'!B435))),"",'영어 단어장'!B435))</f>
        <v/>
      </c>
      <c r="E435" s="15" t="str">
        <f>IF(OR(B435="",C435=""),"",IF(EXACT(LOWER(TRIM(C435)),LOWER(TRIM('영어 단어장'!B435))),"⭕","❌"))</f>
        <v/>
      </c>
      <c r="F435" s="12"/>
    </row>
    <row r="436" spans="1:6" ht="21" x14ac:dyDescent="0.4">
      <c r="A436" s="10">
        <f t="shared" si="6"/>
        <v>435</v>
      </c>
      <c r="B436" s="10" t="str">
        <f>IF('영어 단어장'!C436="","",'영어 단어장'!C436)</f>
        <v>역경, 불운</v>
      </c>
      <c r="C436" s="11"/>
      <c r="D436" s="21" t="str">
        <f>IF(OR(C436="",'영어 단어장'!B436=""),"",IF(EXACT(LOWER(TRIM(C436)),LOWER(TRIM('영어 단어장'!B436))),"",'영어 단어장'!B436))</f>
        <v/>
      </c>
      <c r="E436" s="15" t="str">
        <f>IF(OR(B436="",C436=""),"",IF(EXACT(LOWER(TRIM(C436)),LOWER(TRIM('영어 단어장'!B436))),"⭕","❌"))</f>
        <v/>
      </c>
      <c r="F436" s="12"/>
    </row>
    <row r="437" spans="1:6" ht="21" x14ac:dyDescent="0.4">
      <c r="A437" s="10">
        <f t="shared" si="6"/>
        <v>436</v>
      </c>
      <c r="B437" s="10" t="str">
        <f>IF('영어 단어장'!C437="","",'영어 단어장'!C437)</f>
        <v>비난하다, 고소하다</v>
      </c>
      <c r="C437" s="11"/>
      <c r="D437" s="21" t="str">
        <f>IF(OR(C437="",'영어 단어장'!B437=""),"",IF(EXACT(LOWER(TRIM(C437)),LOWER(TRIM('영어 단어장'!B437))),"",'영어 단어장'!B437))</f>
        <v/>
      </c>
      <c r="E437" s="15" t="str">
        <f>IF(OR(B437="",C437=""),"",IF(EXACT(LOWER(TRIM(C437)),LOWER(TRIM('영어 단어장'!B437))),"⭕","❌"))</f>
        <v/>
      </c>
      <c r="F437" s="12"/>
    </row>
    <row r="438" spans="1:6" ht="21" x14ac:dyDescent="0.4">
      <c r="A438" s="10">
        <f t="shared" si="6"/>
        <v>437</v>
      </c>
      <c r="B438" s="10" t="str">
        <f>IF('영어 단어장'!C438="","",'영어 단어장'!C438)</f>
        <v>수행하다, 종사하다</v>
      </c>
      <c r="C438" s="11"/>
      <c r="D438" s="21" t="str">
        <f>IF(OR(C438="",'영어 단어장'!B438=""),"",IF(EXACT(LOWER(TRIM(C438)),LOWER(TRIM('영어 단어장'!B438))),"",'영어 단어장'!B438))</f>
        <v/>
      </c>
      <c r="E438" s="15" t="str">
        <f>IF(OR(B438="",C438=""),"",IF(EXACT(LOWER(TRIM(C438)),LOWER(TRIM('영어 단어장'!B438))),"⭕","❌"))</f>
        <v/>
      </c>
      <c r="F438" s="12"/>
    </row>
    <row r="439" spans="1:6" ht="21" x14ac:dyDescent="0.4">
      <c r="A439" s="10">
        <f t="shared" si="6"/>
        <v>438</v>
      </c>
      <c r="B439" s="10" t="str">
        <f>IF('영어 단어장'!C439="","",'영어 단어장'!C439)</f>
        <v>인정하다, 감사하다</v>
      </c>
      <c r="C439" s="11"/>
      <c r="D439" s="21" t="str">
        <f>IF(OR(C439="",'영어 단어장'!B439=""),"",IF(EXACT(LOWER(TRIM(C439)),LOWER(TRIM('영어 단어장'!B439))),"",'영어 단어장'!B439))</f>
        <v/>
      </c>
      <c r="E439" s="15" t="str">
        <f>IF(OR(B439="",C439=""),"",IF(EXACT(LOWER(TRIM(C439)),LOWER(TRIM('영어 단어장'!B439))),"⭕","❌"))</f>
        <v/>
      </c>
      <c r="F439" s="12"/>
    </row>
    <row r="440" spans="1:6" ht="21" x14ac:dyDescent="0.4">
      <c r="A440" s="10">
        <f t="shared" si="6"/>
        <v>439</v>
      </c>
      <c r="B440" s="10" t="str">
        <f>IF('영어 단어장'!C440="","",'영어 단어장'!C440)</f>
        <v>감사, 사의</v>
      </c>
      <c r="C440" s="11"/>
      <c r="D440" s="21" t="str">
        <f>IF(OR(C440="",'영어 단어장'!B440=""),"",IF(EXACT(LOWER(TRIM(C440)),LOWER(TRIM('영어 단어장'!B440))),"",'영어 단어장'!B440))</f>
        <v/>
      </c>
      <c r="E440" s="15" t="str">
        <f>IF(OR(B440="",C440=""),"",IF(EXACT(LOWER(TRIM(C440)),LOWER(TRIM('영어 단어장'!B440))),"⭕","❌"))</f>
        <v/>
      </c>
      <c r="F440" s="12"/>
    </row>
    <row r="441" spans="1:6" ht="21" x14ac:dyDescent="0.4">
      <c r="A441" s="10">
        <f t="shared" si="6"/>
        <v>440</v>
      </c>
      <c r="B441" s="10" t="str">
        <f>IF('영어 단어장'!C441="","",'영어 단어장'!C441)</f>
        <v>인정하다, 들이다</v>
      </c>
      <c r="C441" s="11"/>
      <c r="D441" s="21" t="str">
        <f>IF(OR(C441="",'영어 단어장'!B441=""),"",IF(EXACT(LOWER(TRIM(C441)),LOWER(TRIM('영어 단어장'!B441))),"",'영어 단어장'!B441))</f>
        <v/>
      </c>
      <c r="E441" s="15" t="str">
        <f>IF(OR(B441="",C441=""),"",IF(EXACT(LOWER(TRIM(C441)),LOWER(TRIM('영어 단어장'!B441))),"⭕","❌"))</f>
        <v/>
      </c>
      <c r="F441" s="12"/>
    </row>
    <row r="442" spans="1:6" ht="21" x14ac:dyDescent="0.4">
      <c r="A442" s="10">
        <f t="shared" si="6"/>
        <v>441</v>
      </c>
      <c r="B442" s="10" t="str">
        <f>IF('영어 단어장'!C442="","",'영어 단어장'!C442)</f>
        <v>참여하다, 함께먹다</v>
      </c>
      <c r="C442" s="11"/>
      <c r="D442" s="21" t="str">
        <f>IF(OR(C442="",'영어 단어장'!B442=""),"",IF(EXACT(LOWER(TRIM(C442)),LOWER(TRIM('영어 단어장'!B442))),"",'영어 단어장'!B442))</f>
        <v/>
      </c>
      <c r="E442" s="15" t="str">
        <f>IF(OR(B442="",C442=""),"",IF(EXACT(LOWER(TRIM(C442)),LOWER(TRIM('영어 단어장'!B442))),"⭕","❌"))</f>
        <v/>
      </c>
      <c r="F442" s="12"/>
    </row>
    <row r="443" spans="1:6" ht="21" x14ac:dyDescent="0.4">
      <c r="A443" s="10">
        <f t="shared" si="6"/>
        <v>442</v>
      </c>
      <c r="B443" s="10" t="str">
        <f>IF('영어 단어장'!C443="","",'영어 단어장'!C443)</f>
        <v>유도, 입사</v>
      </c>
      <c r="C443" s="11"/>
      <c r="D443" s="21" t="str">
        <f>IF(OR(C443="",'영어 단어장'!B443=""),"",IF(EXACT(LOWER(TRIM(C443)),LOWER(TRIM('영어 단어장'!B443))),"",'영어 단어장'!B443))</f>
        <v/>
      </c>
      <c r="E443" s="15" t="str">
        <f>IF(OR(B443="",C443=""),"",IF(EXACT(LOWER(TRIM(C443)),LOWER(TRIM('영어 단어장'!B443))),"⭕","❌"))</f>
        <v/>
      </c>
      <c r="F443" s="12"/>
    </row>
    <row r="444" spans="1:6" ht="21" x14ac:dyDescent="0.4">
      <c r="A444" s="10">
        <f t="shared" si="6"/>
        <v>443</v>
      </c>
      <c r="B444" s="10" t="str">
        <f>IF('영어 단어장'!C444="","",'영어 단어장'!C444)</f>
        <v>고백하다, 인정하다</v>
      </c>
      <c r="C444" s="11"/>
      <c r="D444" s="21" t="str">
        <f>IF(OR(C444="",'영어 단어장'!B444=""),"",IF(EXACT(LOWER(TRIM(C444)),LOWER(TRIM('영어 단어장'!B444))),"",'영어 단어장'!B444))</f>
        <v/>
      </c>
      <c r="E444" s="15" t="str">
        <f>IF(OR(B444="",C444=""),"",IF(EXACT(LOWER(TRIM(C444)),LOWER(TRIM('영어 단어장'!B444))),"⭕","❌"))</f>
        <v/>
      </c>
      <c r="F444" s="12"/>
    </row>
    <row r="445" spans="1:6" ht="21" x14ac:dyDescent="0.4">
      <c r="A445" s="10">
        <f t="shared" si="6"/>
        <v>444</v>
      </c>
      <c r="B445" s="10" t="str">
        <f>IF('영어 단어장'!C445="","",'영어 단어장'!C445)</f>
        <v>행위, 사실</v>
      </c>
      <c r="C445" s="11"/>
      <c r="D445" s="21" t="str">
        <f>IF(OR(C445="",'영어 단어장'!B445=""),"",IF(EXACT(LOWER(TRIM(C445)),LOWER(TRIM('영어 단어장'!B445))),"",'영어 단어장'!B445))</f>
        <v/>
      </c>
      <c r="E445" s="15" t="str">
        <f>IF(OR(B445="",C445=""),"",IF(EXACT(LOWER(TRIM(C445)),LOWER(TRIM('영어 단어장'!B445))),"⭕","❌"))</f>
        <v/>
      </c>
      <c r="F445" s="12"/>
    </row>
    <row r="446" spans="1:6" ht="21" x14ac:dyDescent="0.4">
      <c r="A446" s="10">
        <f t="shared" si="6"/>
        <v>445</v>
      </c>
      <c r="B446" s="10" t="str">
        <f>IF('영어 단어장'!C446="","",'영어 단어장'!C446)</f>
        <v>활발한, 빠른</v>
      </c>
      <c r="C446" s="11"/>
      <c r="D446" s="21" t="str">
        <f>IF(OR(C446="",'영어 단어장'!B446=""),"",IF(EXACT(LOWER(TRIM(C446)),LOWER(TRIM('영어 단어장'!B446))),"",'영어 단어장'!B446))</f>
        <v/>
      </c>
      <c r="E446" s="15" t="str">
        <f>IF(OR(B446="",C446=""),"",IF(EXACT(LOWER(TRIM(C446)),LOWER(TRIM('영어 단어장'!B446))),"⭕","❌"))</f>
        <v/>
      </c>
      <c r="F446" s="12"/>
    </row>
    <row r="447" spans="1:6" ht="21" x14ac:dyDescent="0.4">
      <c r="A447" s="10">
        <f t="shared" si="6"/>
        <v>446</v>
      </c>
      <c r="B447" s="10" t="str">
        <f>IF('영어 단어장'!C447="","",'영어 단어장'!C447)</f>
        <v>힘찬, 박력있는</v>
      </c>
      <c r="C447" s="11"/>
      <c r="D447" s="21" t="str">
        <f>IF(OR(C447="",'영어 단어장'!B447=""),"",IF(EXACT(LOWER(TRIM(C447)),LOWER(TRIM('영어 단어장'!B447))),"",'영어 단어장'!B447))</f>
        <v/>
      </c>
      <c r="E447" s="15" t="str">
        <f>IF(OR(B447="",C447=""),"",IF(EXACT(LOWER(TRIM(C447)),LOWER(TRIM('영어 단어장'!B447))),"⭕","❌"))</f>
        <v/>
      </c>
      <c r="F447" s="12"/>
    </row>
    <row r="448" spans="1:6" ht="21" x14ac:dyDescent="0.4">
      <c r="A448" s="10">
        <f t="shared" si="6"/>
        <v>447</v>
      </c>
      <c r="B448" s="10" t="str">
        <f>IF('영어 단어장'!C448="","",'영어 단어장'!C448)</f>
        <v>열렬한</v>
      </c>
      <c r="C448" s="11"/>
      <c r="D448" s="21" t="str">
        <f>IF(OR(C448="",'영어 단어장'!B448=""),"",IF(EXACT(LOWER(TRIM(C448)),LOWER(TRIM('영어 단어장'!B448))),"",'영어 단어장'!B448))</f>
        <v/>
      </c>
      <c r="E448" s="15" t="str">
        <f>IF(OR(B448="",C448=""),"",IF(EXACT(LOWER(TRIM(C448)),LOWER(TRIM('영어 단어장'!B448))),"⭕","❌"))</f>
        <v/>
      </c>
      <c r="F448" s="12"/>
    </row>
    <row r="449" spans="1:6" ht="21" x14ac:dyDescent="0.4">
      <c r="A449" s="10">
        <f t="shared" si="6"/>
        <v>448</v>
      </c>
      <c r="B449" s="10" t="str">
        <f>IF('영어 단어장'!C449="","",'영어 단어장'!C449)</f>
        <v>날카로운, 강렬한</v>
      </c>
      <c r="C449" s="11"/>
      <c r="D449" s="21" t="str">
        <f>IF(OR(C449="",'영어 단어장'!B449=""),"",IF(EXACT(LOWER(TRIM(C449)),LOWER(TRIM('영어 단어장'!B449))),"",'영어 단어장'!B449))</f>
        <v/>
      </c>
      <c r="E449" s="15" t="str">
        <f>IF(OR(B449="",C449=""),"",IF(EXACT(LOWER(TRIM(C449)),LOWER(TRIM('영어 단어장'!B449))),"⭕","❌"))</f>
        <v/>
      </c>
      <c r="F449" s="12"/>
    </row>
    <row r="450" spans="1:6" ht="21" x14ac:dyDescent="0.4">
      <c r="A450" s="10">
        <f t="shared" si="6"/>
        <v>449</v>
      </c>
      <c r="B450" s="10" t="str">
        <f>IF('영어 단어장'!C450="","",'영어 단어장'!C450)</f>
        <v>격심한, 날카로운</v>
      </c>
      <c r="C450" s="11"/>
      <c r="D450" s="21" t="str">
        <f>IF(OR(C450="",'영어 단어장'!B450=""),"",IF(EXACT(LOWER(TRIM(C450)),LOWER(TRIM('영어 단어장'!B450))),"",'영어 단어장'!B450))</f>
        <v/>
      </c>
      <c r="E450" s="15" t="str">
        <f>IF(OR(B450="",C450=""),"",IF(EXACT(LOWER(TRIM(C450)),LOWER(TRIM('영어 단어장'!B450))),"⭕","❌"))</f>
        <v/>
      </c>
      <c r="F450" s="12"/>
    </row>
    <row r="451" spans="1:6" ht="21" x14ac:dyDescent="0.4">
      <c r="A451" s="10">
        <f t="shared" ref="A451:A501" si="7">ROW()-1</f>
        <v>450</v>
      </c>
      <c r="B451" s="10" t="str">
        <f>IF('영어 단어장'!C451="","",'영어 단어장'!C451)</f>
        <v>타협하다, 화해하다</v>
      </c>
      <c r="C451" s="11"/>
      <c r="D451" s="21" t="str">
        <f>IF(OR(C451="",'영어 단어장'!B451=""),"",IF(EXACT(LOWER(TRIM(C451)),LOWER(TRIM('영어 단어장'!B451))),"",'영어 단어장'!B451))</f>
        <v/>
      </c>
      <c r="E451" s="15" t="str">
        <f>IF(OR(B451="",C451=""),"",IF(EXACT(LOWER(TRIM(C451)),LOWER(TRIM('영어 단어장'!B451))),"⭕","❌"))</f>
        <v/>
      </c>
      <c r="F451" s="12"/>
    </row>
    <row r="452" spans="1:6" ht="21" x14ac:dyDescent="0.4">
      <c r="A452" s="10">
        <f t="shared" si="7"/>
        <v>451</v>
      </c>
      <c r="B452" s="10" t="str">
        <f>IF('영어 단어장'!C452="","",'영어 단어장'!C452)</f>
        <v>중재하다</v>
      </c>
      <c r="C452" s="11"/>
      <c r="D452" s="21" t="str">
        <f>IF(OR(C452="",'영어 단어장'!B452=""),"",IF(EXACT(LOWER(TRIM(C452)),LOWER(TRIM('영어 단어장'!B452))),"",'영어 단어장'!B452))</f>
        <v/>
      </c>
      <c r="E452" s="15" t="str">
        <f>IF(OR(B452="",C452=""),"",IF(EXACT(LOWER(TRIM(C452)),LOWER(TRIM('영어 단어장'!B452))),"⭕","❌"))</f>
        <v/>
      </c>
      <c r="F452" s="12"/>
    </row>
    <row r="453" spans="1:6" ht="21" x14ac:dyDescent="0.4">
      <c r="A453" s="10">
        <f t="shared" si="7"/>
        <v>452</v>
      </c>
      <c r="B453" s="10" t="str">
        <f>IF('영어 단어장'!C453="","",'영어 단어장'!C453)</f>
        <v>화해시키다, 조정하다</v>
      </c>
      <c r="C453" s="11"/>
      <c r="D453" s="21" t="str">
        <f>IF(OR(C453="",'영어 단어장'!B453=""),"",IF(EXACT(LOWER(TRIM(C453)),LOWER(TRIM('영어 단어장'!B453))),"",'영어 단어장'!B453))</f>
        <v/>
      </c>
      <c r="E453" s="15" t="str">
        <f>IF(OR(B453="",C453=""),"",IF(EXACT(LOWER(TRIM(C453)),LOWER(TRIM('영어 단어장'!B453))),"⭕","❌"))</f>
        <v/>
      </c>
      <c r="F453" s="12"/>
    </row>
    <row r="454" spans="1:6" ht="21" x14ac:dyDescent="0.4">
      <c r="A454" s="10">
        <f t="shared" si="7"/>
        <v>453</v>
      </c>
      <c r="B454" s="10" t="str">
        <f>IF('영어 단어장'!C454="","",'영어 단어장'!C454)</f>
        <v>따르다, 순응시키다</v>
      </c>
      <c r="C454" s="11"/>
      <c r="D454" s="21" t="str">
        <f>IF(OR(C454="",'영어 단어장'!B454=""),"",IF(EXACT(LOWER(TRIM(C454)),LOWER(TRIM('영어 단어장'!B454))),"",'영어 단어장'!B454))</f>
        <v/>
      </c>
      <c r="E454" s="15" t="str">
        <f>IF(OR(B454="",C454=""),"",IF(EXACT(LOWER(TRIM(C454)),LOWER(TRIM('영어 단어장'!B454))),"⭕","❌"))</f>
        <v/>
      </c>
      <c r="F454" s="12"/>
    </row>
    <row r="455" spans="1:6" ht="21" x14ac:dyDescent="0.4">
      <c r="A455" s="10">
        <f t="shared" si="7"/>
        <v>454</v>
      </c>
      <c r="B455" s="10" t="str">
        <f>IF('영어 단어장'!C455="","",'영어 단어장'!C455)</f>
        <v>연기하다</v>
      </c>
      <c r="C455" s="11"/>
      <c r="D455" s="21" t="str">
        <f>IF(OR(C455="",'영어 단어장'!B455=""),"",IF(EXACT(LOWER(TRIM(C455)),LOWER(TRIM('영어 단어장'!B455))),"",'영어 단어장'!B455))</f>
        <v/>
      </c>
      <c r="E455" s="15" t="str">
        <f>IF(OR(B455="",C455=""),"",IF(EXACT(LOWER(TRIM(C455)),LOWER(TRIM('영어 단어장'!B455))),"⭕","❌"))</f>
        <v/>
      </c>
      <c r="F455" s="12"/>
    </row>
    <row r="456" spans="1:6" ht="21" x14ac:dyDescent="0.4">
      <c r="A456" s="10">
        <f t="shared" si="7"/>
        <v>455</v>
      </c>
      <c r="B456" s="10" t="str">
        <f>IF('영어 단어장'!C456="","",'영어 단어장'!C456)</f>
        <v>연기하다, 미루다</v>
      </c>
      <c r="C456" s="11"/>
      <c r="D456" s="21" t="str">
        <f>IF(OR(C456="",'영어 단어장'!B456=""),"",IF(EXACT(LOWER(TRIM(C456)),LOWER(TRIM('영어 단어장'!B456))),"",'영어 단어장'!B456))</f>
        <v/>
      </c>
      <c r="E456" s="15" t="str">
        <f>IF(OR(B456="",C456=""),"",IF(EXACT(LOWER(TRIM(C456)),LOWER(TRIM('영어 단어장'!B456))),"⭕","❌"))</f>
        <v/>
      </c>
      <c r="F456" s="12"/>
    </row>
    <row r="457" spans="1:6" ht="21" x14ac:dyDescent="0.4">
      <c r="A457" s="10">
        <f t="shared" si="7"/>
        <v>456</v>
      </c>
      <c r="B457" s="10" t="str">
        <f>IF('영어 단어장'!C457="","",'영어 단어장'!C457)</f>
        <v>정지하다</v>
      </c>
      <c r="C457" s="11"/>
      <c r="D457" s="21" t="str">
        <f>IF(OR(C457="",'영어 단어장'!B457=""),"",IF(EXACT(LOWER(TRIM(C457)),LOWER(TRIM('영어 단어장'!B457))),"",'영어 단어장'!B457))</f>
        <v/>
      </c>
      <c r="E457" s="15" t="str">
        <f>IF(OR(B457="",C457=""),"",IF(EXACT(LOWER(TRIM(C457)),LOWER(TRIM('영어 단어장'!B457))),"⭕","❌"))</f>
        <v/>
      </c>
      <c r="F457" s="12"/>
    </row>
    <row r="458" spans="1:6" ht="21" x14ac:dyDescent="0.4">
      <c r="A458" s="10">
        <f t="shared" si="7"/>
        <v>457</v>
      </c>
      <c r="B458" s="10" t="str">
        <f>IF('영어 단어장'!C458="","",'영어 단어장'!C458)</f>
        <v>중지하다</v>
      </c>
      <c r="C458" s="11"/>
      <c r="D458" s="21" t="str">
        <f>IF(OR(C458="",'영어 단어장'!B458=""),"",IF(EXACT(LOWER(TRIM(C458)),LOWER(TRIM('영어 단어장'!B458))),"",'영어 단어장'!B458))</f>
        <v/>
      </c>
      <c r="E458" s="15" t="str">
        <f>IF(OR(B458="",C458=""),"",IF(EXACT(LOWER(TRIM(C458)),LOWER(TRIM('영어 단어장'!B458))),"⭕","❌"))</f>
        <v/>
      </c>
      <c r="F458" s="12"/>
    </row>
    <row r="459" spans="1:6" ht="21" x14ac:dyDescent="0.4">
      <c r="A459" s="10">
        <f t="shared" si="7"/>
        <v>458</v>
      </c>
      <c r="B459" s="10" t="str">
        <f>IF('영어 단어장'!C459="","",'영어 단어장'!C459)</f>
        <v>꾸미다, 장식하다</v>
      </c>
      <c r="C459" s="11"/>
      <c r="D459" s="21" t="str">
        <f>IF(OR(C459="",'영어 단어장'!B459=""),"",IF(EXACT(LOWER(TRIM(C459)),LOWER(TRIM('영어 단어장'!B459))),"",'영어 단어장'!B459))</f>
        <v/>
      </c>
      <c r="E459" s="15" t="str">
        <f>IF(OR(B459="",C459=""),"",IF(EXACT(LOWER(TRIM(C459)),LOWER(TRIM('영어 단어장'!B459))),"⭕","❌"))</f>
        <v/>
      </c>
      <c r="F459" s="12"/>
    </row>
    <row r="460" spans="1:6" ht="21" x14ac:dyDescent="0.4">
      <c r="A460" s="10">
        <f t="shared" si="7"/>
        <v>459</v>
      </c>
      <c r="B460" s="10" t="str">
        <f>IF('영어 단어장'!C460="","",'영어 단어장'!C460)</f>
        <v>교활한, 영리한</v>
      </c>
      <c r="C460" s="11"/>
      <c r="D460" s="21" t="str">
        <f>IF(OR(C460="",'영어 단어장'!B460=""),"",IF(EXACT(LOWER(TRIM(C460)),LOWER(TRIM('영어 단어장'!B460))),"",'영어 단어장'!B460))</f>
        <v/>
      </c>
      <c r="E460" s="15" t="str">
        <f>IF(OR(B460="",C460=""),"",IF(EXACT(LOWER(TRIM(C460)),LOWER(TRIM('영어 단어장'!B460))),"⭕","❌"))</f>
        <v/>
      </c>
      <c r="F460" s="12"/>
    </row>
    <row r="461" spans="1:6" ht="21" x14ac:dyDescent="0.4">
      <c r="A461" s="10">
        <f t="shared" si="7"/>
        <v>460</v>
      </c>
      <c r="B461" s="10" t="str">
        <f>IF('영어 단어장'!C461="","",'영어 단어장'!C461)</f>
        <v>교활한</v>
      </c>
      <c r="C461" s="11"/>
      <c r="D461" s="21" t="str">
        <f>IF(OR(C461="",'영어 단어장'!B461=""),"",IF(EXACT(LOWER(TRIM(C461)),LOWER(TRIM('영어 단어장'!B461))),"",'영어 단어장'!B461))</f>
        <v/>
      </c>
      <c r="E461" s="15" t="str">
        <f>IF(OR(B461="",C461=""),"",IF(EXACT(LOWER(TRIM(C461)),LOWER(TRIM('영어 단어장'!B461))),"⭕","❌"))</f>
        <v/>
      </c>
      <c r="F461" s="12"/>
    </row>
    <row r="462" spans="1:6" ht="21" x14ac:dyDescent="0.4">
      <c r="A462" s="10">
        <f t="shared" si="7"/>
        <v>461</v>
      </c>
      <c r="B462" s="10" t="str">
        <f>IF('영어 단어장'!C462="","",'영어 단어장'!C462)</f>
        <v>교묘한</v>
      </c>
      <c r="C462" s="11"/>
      <c r="D462" s="21" t="str">
        <f>IF(OR(C462="",'영어 단어장'!B462=""),"",IF(EXACT(LOWER(TRIM(C462)),LOWER(TRIM('영어 단어장'!B462))),"",'영어 단어장'!B462))</f>
        <v/>
      </c>
      <c r="E462" s="15" t="str">
        <f>IF(OR(B462="",C462=""),"",IF(EXACT(LOWER(TRIM(C462)),LOWER(TRIM('영어 단어장'!B462))),"⭕","❌"))</f>
        <v/>
      </c>
      <c r="F462" s="12"/>
    </row>
    <row r="463" spans="1:6" ht="21" x14ac:dyDescent="0.4">
      <c r="A463" s="10">
        <f t="shared" si="7"/>
        <v>462</v>
      </c>
      <c r="B463" s="10" t="str">
        <f>IF('영어 단어장'!C463="","",'영어 단어장'!C463)</f>
        <v>교활한</v>
      </c>
      <c r="C463" s="11"/>
      <c r="D463" s="21" t="str">
        <f>IF(OR(C463="",'영어 단어장'!B463=""),"",IF(EXACT(LOWER(TRIM(C463)),LOWER(TRIM('영어 단어장'!B463))),"",'영어 단어장'!B463))</f>
        <v/>
      </c>
      <c r="E463" s="15" t="str">
        <f>IF(OR(B463="",C463=""),"",IF(EXACT(LOWER(TRIM(C463)),LOWER(TRIM('영어 단어장'!B463))),"⭕","❌"))</f>
        <v/>
      </c>
      <c r="F463" s="12"/>
    </row>
    <row r="464" spans="1:6" ht="21" x14ac:dyDescent="0.4">
      <c r="A464" s="10">
        <f t="shared" si="7"/>
        <v>463</v>
      </c>
      <c r="B464" s="10" t="str">
        <f>IF('영어 단어장'!C464="","",'영어 단어장'!C464)</f>
        <v>음흉스러운</v>
      </c>
      <c r="C464" s="11"/>
      <c r="D464" s="21" t="str">
        <f>IF(OR(C464="",'영어 단어장'!B464=""),"",IF(EXACT(LOWER(TRIM(C464)),LOWER(TRIM('영어 단어장'!B464))),"",'영어 단어장'!B464))</f>
        <v/>
      </c>
      <c r="E464" s="15" t="str">
        <f>IF(OR(B464="",C464=""),"",IF(EXACT(LOWER(TRIM(C464)),LOWER(TRIM('영어 단어장'!B464))),"⭕","❌"))</f>
        <v/>
      </c>
      <c r="F464" s="12"/>
    </row>
    <row r="465" spans="1:6" ht="21" x14ac:dyDescent="0.4">
      <c r="A465" s="10">
        <f t="shared" si="7"/>
        <v>464</v>
      </c>
      <c r="B465" s="10" t="str">
        <f>IF('영어 단어장'!C465="","",'영어 단어장'!C465)</f>
        <v>장난스러운</v>
      </c>
      <c r="C465" s="11"/>
      <c r="D465" s="21" t="str">
        <f>IF(OR(C465="",'영어 단어장'!B465=""),"",IF(EXACT(LOWER(TRIM(C465)),LOWER(TRIM('영어 단어장'!B465))),"",'영어 단어장'!B465))</f>
        <v/>
      </c>
      <c r="E465" s="15" t="str">
        <f>IF(OR(B465="",C465=""),"",IF(EXACT(LOWER(TRIM(C465)),LOWER(TRIM('영어 단어장'!B465))),"⭕","❌"))</f>
        <v/>
      </c>
      <c r="F465" s="12"/>
    </row>
    <row r="466" spans="1:6" ht="21" x14ac:dyDescent="0.4">
      <c r="A466" s="10">
        <f t="shared" si="7"/>
        <v>465</v>
      </c>
      <c r="B466" s="10" t="str">
        <f>IF('영어 단어장'!C466="","",'영어 단어장'!C466)</f>
        <v>조심하다, 주의하다</v>
      </c>
      <c r="C466" s="11"/>
      <c r="D466" s="21" t="str">
        <f>IF(OR(C466="",'영어 단어장'!B466=""),"",IF(EXACT(LOWER(TRIM(C466)),LOWER(TRIM('영어 단어장'!B466))),"",'영어 단어장'!B466))</f>
        <v/>
      </c>
      <c r="E466" s="15" t="str">
        <f>IF(OR(B466="",C466=""),"",IF(EXACT(LOWER(TRIM(C466)),LOWER(TRIM('영어 단어장'!B466))),"⭕","❌"))</f>
        <v/>
      </c>
      <c r="F466" s="12"/>
    </row>
    <row r="467" spans="1:6" ht="21" x14ac:dyDescent="0.4">
      <c r="A467" s="10">
        <f t="shared" si="7"/>
        <v>466</v>
      </c>
      <c r="B467" s="10" t="str">
        <f>IF('영어 단어장'!C467="","",'영어 단어장'!C467)</f>
        <v>품위 있는, 의회의</v>
      </c>
      <c r="C467" s="11"/>
      <c r="D467" s="21" t="str">
        <f>IF(OR(C467="",'영어 단어장'!B467=""),"",IF(EXACT(LOWER(TRIM(C467)),LOWER(TRIM('영어 단어장'!B467))),"",'영어 단어장'!B467))</f>
        <v/>
      </c>
      <c r="E467" s="15" t="str">
        <f>IF(OR(B467="",C467=""),"",IF(EXACT(LOWER(TRIM(C467)),LOWER(TRIM('영어 단어장'!B467))),"⭕","❌"))</f>
        <v/>
      </c>
      <c r="F467" s="12"/>
    </row>
    <row r="468" spans="1:6" ht="21" x14ac:dyDescent="0.4">
      <c r="A468" s="10">
        <f t="shared" si="7"/>
        <v>467</v>
      </c>
      <c r="B468" s="10" t="str">
        <f>IF('영어 단어장'!C468="","",'영어 단어장'!C468)</f>
        <v>회의, 대회</v>
      </c>
      <c r="C468" s="11"/>
      <c r="D468" s="21" t="str">
        <f>IF(OR(C468="",'영어 단어장'!B468=""),"",IF(EXACT(LOWER(TRIM(C468)),LOWER(TRIM('영어 단어장'!B468))),"",'영어 단어장'!B468))</f>
        <v/>
      </c>
      <c r="E468" s="15" t="str">
        <f>IF(OR(B468="",C468=""),"",IF(EXACT(LOWER(TRIM(C468)),LOWER(TRIM('영어 단어장'!B468))),"⭕","❌"))</f>
        <v/>
      </c>
      <c r="F468" s="12"/>
    </row>
    <row r="469" spans="1:6" ht="21" x14ac:dyDescent="0.4">
      <c r="A469" s="10">
        <f t="shared" si="7"/>
        <v>468</v>
      </c>
      <c r="B469" s="10" t="str">
        <f>IF('영어 단어장'!C469="","",'영어 단어장'!C469)</f>
        <v>충고하다, 생각하다</v>
      </c>
      <c r="C469" s="11"/>
      <c r="D469" s="21" t="str">
        <f>IF(OR(C469="",'영어 단어장'!B469=""),"",IF(EXACT(LOWER(TRIM(C469)),LOWER(TRIM('영어 단어장'!B469))),"",'영어 단어장'!B469))</f>
        <v/>
      </c>
      <c r="E469" s="15" t="str">
        <f>IF(OR(B469="",C469=""),"",IF(EXACT(LOWER(TRIM(C469)),LOWER(TRIM('영어 단어장'!B469))),"⭕","❌"))</f>
        <v/>
      </c>
      <c r="F469" s="12"/>
    </row>
    <row r="470" spans="1:6" ht="21" x14ac:dyDescent="0.4">
      <c r="A470" s="10">
        <f t="shared" si="7"/>
        <v>469</v>
      </c>
      <c r="B470" s="10" t="str">
        <f>IF('영어 단어장'!C470="","",'영어 단어장'!C470)</f>
        <v>알리다</v>
      </c>
      <c r="C470" s="11"/>
      <c r="D470" s="21" t="str">
        <f>IF(OR(C470="",'영어 단어장'!B470=""),"",IF(EXACT(LOWER(TRIM(C470)),LOWER(TRIM('영어 단어장'!B470))),"",'영어 단어장'!B470))</f>
        <v/>
      </c>
      <c r="E470" s="15" t="str">
        <f>IF(OR(B470="",C470=""),"",IF(EXACT(LOWER(TRIM(C470)),LOWER(TRIM('영어 단어장'!B470))),"⭕","❌"))</f>
        <v/>
      </c>
      <c r="F470" s="12"/>
    </row>
    <row r="471" spans="1:6" ht="21" x14ac:dyDescent="0.4">
      <c r="A471" s="10">
        <f t="shared" si="7"/>
        <v>470</v>
      </c>
      <c r="B471" s="10" t="str">
        <f>IF('영어 단어장'!C471="","",'영어 단어장'!C471)</f>
        <v>선전하다</v>
      </c>
      <c r="C471" s="11"/>
      <c r="D471" s="21" t="str">
        <f>IF(OR(C471="",'영어 단어장'!B471=""),"",IF(EXACT(LOWER(TRIM(C471)),LOWER(TRIM('영어 단어장'!B471))),"",'영어 단어장'!B471))</f>
        <v/>
      </c>
      <c r="E471" s="15" t="str">
        <f>IF(OR(B471="",C471=""),"",IF(EXACT(LOWER(TRIM(C471)),LOWER(TRIM('영어 단어장'!B471))),"⭕","❌"))</f>
        <v/>
      </c>
      <c r="F471" s="12"/>
    </row>
    <row r="472" spans="1:6" ht="21" x14ac:dyDescent="0.4">
      <c r="A472" s="10">
        <f t="shared" si="7"/>
        <v>471</v>
      </c>
      <c r="B472" s="10" t="str">
        <f>IF('영어 단어장'!C472="","",'영어 단어장'!C472)</f>
        <v>흔들리다</v>
      </c>
      <c r="C472" s="11"/>
      <c r="D472" s="21" t="str">
        <f>IF(OR(C472="",'영어 단어장'!B472=""),"",IF(EXACT(LOWER(TRIM(C472)),LOWER(TRIM('영어 단어장'!B472))),"",'영어 단어장'!B472))</f>
        <v/>
      </c>
      <c r="E472" s="15" t="str">
        <f>IF(OR(B472="",C472=""),"",IF(EXACT(LOWER(TRIM(C472)),LOWER(TRIM('영어 단어장'!B472))),"⭕","❌"))</f>
        <v/>
      </c>
      <c r="F472" s="12"/>
    </row>
    <row r="473" spans="1:6" ht="21" x14ac:dyDescent="0.4">
      <c r="A473" s="10">
        <f t="shared" si="7"/>
        <v>472</v>
      </c>
      <c r="B473" s="10" t="str">
        <f>IF('영어 단어장'!C473="","",'영어 단어장'!C473)</f>
        <v>설득시키다</v>
      </c>
      <c r="C473" s="11"/>
      <c r="D473" s="21" t="str">
        <f>IF(OR(C473="",'영어 단어장'!B473=""),"",IF(EXACT(LOWER(TRIM(C473)),LOWER(TRIM('영어 단어장'!B473))),"",'영어 단어장'!B473))</f>
        <v/>
      </c>
      <c r="E473" s="15" t="str">
        <f>IF(OR(B473="",C473=""),"",IF(EXACT(LOWER(TRIM(C473)),LOWER(TRIM('영어 단어장'!B473))),"⭕","❌"))</f>
        <v/>
      </c>
      <c r="F473" s="12"/>
    </row>
    <row r="474" spans="1:6" ht="21" x14ac:dyDescent="0.4">
      <c r="A474" s="10">
        <f t="shared" si="7"/>
        <v>473</v>
      </c>
      <c r="B474" s="10" t="str">
        <f>IF('영어 단어장'!C474="","",'영어 단어장'!C474)</f>
        <v>권하다, 야기하다</v>
      </c>
      <c r="C474" s="11"/>
      <c r="D474" s="21" t="str">
        <f>IF(OR(C474="",'영어 단어장'!B474=""),"",IF(EXACT(LOWER(TRIM(C474)),LOWER(TRIM('영어 단어장'!B474))),"",'영어 단어장'!B474))</f>
        <v/>
      </c>
      <c r="E474" s="15" t="str">
        <f>IF(OR(B474="",C474=""),"",IF(EXACT(LOWER(TRIM(C474)),LOWER(TRIM('영어 단어장'!B474))),"⭕","❌"))</f>
        <v/>
      </c>
      <c r="F474" s="12"/>
    </row>
    <row r="475" spans="1:6" ht="21" x14ac:dyDescent="0.4">
      <c r="A475" s="10">
        <f t="shared" si="7"/>
        <v>474</v>
      </c>
      <c r="B475" s="10" t="str">
        <f>IF('영어 단어장'!C475="","",'영어 단어장'!C475)</f>
        <v>자극, 유인</v>
      </c>
      <c r="C475" s="11"/>
      <c r="D475" s="21" t="str">
        <f>IF(OR(C475="",'영어 단어장'!B475=""),"",IF(EXACT(LOWER(TRIM(C475)),LOWER(TRIM('영어 단어장'!B475))),"",'영어 단어장'!B475))</f>
        <v/>
      </c>
      <c r="E475" s="15" t="str">
        <f>IF(OR(B475="",C475=""),"",IF(EXACT(LOWER(TRIM(C475)),LOWER(TRIM('영어 단어장'!B475))),"⭕","❌"))</f>
        <v/>
      </c>
      <c r="F475" s="12"/>
    </row>
    <row r="476" spans="1:6" ht="21" x14ac:dyDescent="0.4">
      <c r="A476" s="10">
        <f t="shared" si="7"/>
        <v>475</v>
      </c>
      <c r="B476" s="10" t="str">
        <f>IF('영어 단어장'!C476="","",'영어 단어장'!C476)</f>
        <v>인상을주다, 감동시키다</v>
      </c>
      <c r="C476" s="11"/>
      <c r="D476" s="21" t="str">
        <f>IF(OR(C476="",'영어 단어장'!B476=""),"",IF(EXACT(LOWER(TRIM(C476)),LOWER(TRIM('영어 단어장'!B476))),"",'영어 단어장'!B476))</f>
        <v/>
      </c>
      <c r="E476" s="15" t="str">
        <f>IF(OR(B476="",C476=""),"",IF(EXACT(LOWER(TRIM(C476)),LOWER(TRIM('영어 단어장'!B476))),"⭕","❌"))</f>
        <v/>
      </c>
      <c r="F476" s="12"/>
    </row>
    <row r="477" spans="1:6" ht="21" x14ac:dyDescent="0.4">
      <c r="A477" s="10">
        <f t="shared" si="7"/>
        <v>476</v>
      </c>
      <c r="B477" s="10" t="str">
        <f>IF('영어 단어장'!C477="","",'영어 단어장'!C477)</f>
        <v>날인하다, 도장</v>
      </c>
      <c r="C477" s="11"/>
      <c r="D477" s="21" t="str">
        <f>IF(OR(C477="",'영어 단어장'!B477=""),"",IF(EXACT(LOWER(TRIM(C477)),LOWER(TRIM('영어 단어장'!B477))),"",'영어 단어장'!B477))</f>
        <v/>
      </c>
      <c r="E477" s="15" t="str">
        <f>IF(OR(B477="",C477=""),"",IF(EXACT(LOWER(TRIM(C477)),LOWER(TRIM('영어 단어장'!B477))),"⭕","❌"))</f>
        <v/>
      </c>
      <c r="F477" s="12"/>
    </row>
    <row r="478" spans="1:6" ht="21" x14ac:dyDescent="0.4">
      <c r="A478" s="10">
        <f t="shared" si="7"/>
        <v>477</v>
      </c>
      <c r="B478" s="10" t="str">
        <f>IF('영어 단어장'!C478="","",'영어 단어장'!C478)</f>
        <v>희생하다</v>
      </c>
      <c r="C478" s="11"/>
      <c r="D478" s="21" t="str">
        <f>IF(OR(C478="",'영어 단어장'!B478=""),"",IF(EXACT(LOWER(TRIM(C478)),LOWER(TRIM('영어 단어장'!B478))),"",'영어 단어장'!B478))</f>
        <v/>
      </c>
      <c r="E478" s="15" t="str">
        <f>IF(OR(B478="",C478=""),"",IF(EXACT(LOWER(TRIM(C478)),LOWER(TRIM('영어 단어장'!B478))),"⭕","❌"))</f>
        <v/>
      </c>
      <c r="F478" s="12"/>
    </row>
    <row r="479" spans="1:6" ht="21" x14ac:dyDescent="0.4">
      <c r="A479" s="10">
        <f t="shared" si="7"/>
        <v>478</v>
      </c>
      <c r="B479" s="10" t="str">
        <f>IF('영어 단어장'!C479="","",'영어 단어장'!C479)</f>
        <v>바치다, 헌납하다</v>
      </c>
      <c r="C479" s="11"/>
      <c r="D479" s="21" t="str">
        <f>IF(OR(C479="",'영어 단어장'!B479=""),"",IF(EXACT(LOWER(TRIM(C479)),LOWER(TRIM('영어 단어장'!B479))),"",'영어 단어장'!B479))</f>
        <v/>
      </c>
      <c r="E479" s="15" t="str">
        <f>IF(OR(B479="",C479=""),"",IF(EXACT(LOWER(TRIM(C479)),LOWER(TRIM('영어 단어장'!B479))),"⭕","❌"))</f>
        <v/>
      </c>
      <c r="F479" s="12"/>
    </row>
    <row r="480" spans="1:6" ht="21" x14ac:dyDescent="0.4">
      <c r="A480" s="10">
        <f t="shared" si="7"/>
        <v>479</v>
      </c>
      <c r="B480" s="10" t="str">
        <f>IF('영어 단어장'!C480="","",'영어 단어장'!C480)</f>
        <v>고통을 주다</v>
      </c>
      <c r="C480" s="11"/>
      <c r="D480" s="21" t="str">
        <f>IF(OR(C480="",'영어 단어장'!B480=""),"",IF(EXACT(LOWER(TRIM(C480)),LOWER(TRIM('영어 단어장'!B480))),"",'영어 단어장'!B480))</f>
        <v/>
      </c>
      <c r="E480" s="15" t="str">
        <f>IF(OR(B480="",C480=""),"",IF(EXACT(LOWER(TRIM(C480)),LOWER(TRIM('영어 단어장'!B480))),"⭕","❌"))</f>
        <v/>
      </c>
      <c r="F480" s="12"/>
    </row>
    <row r="481" spans="1:6" ht="21" x14ac:dyDescent="0.4">
      <c r="A481" s="10">
        <f t="shared" si="7"/>
        <v>480</v>
      </c>
      <c r="B481" s="10" t="str">
        <f>IF('영어 단어장'!C481="","",'영어 단어장'!C481)</f>
        <v>격통</v>
      </c>
      <c r="C481" s="11"/>
      <c r="D481" s="21" t="str">
        <f>IF(OR(C481="",'영어 단어장'!B481=""),"",IF(EXACT(LOWER(TRIM(C481)),LOWER(TRIM('영어 단어장'!B481))),"",'영어 단어장'!B481))</f>
        <v/>
      </c>
      <c r="E481" s="15" t="str">
        <f>IF(OR(B481="",C481=""),"",IF(EXACT(LOWER(TRIM(C481)),LOWER(TRIM('영어 단어장'!B481))),"⭕","❌"))</f>
        <v/>
      </c>
      <c r="F481" s="12"/>
    </row>
    <row r="482" spans="1:6" ht="21" x14ac:dyDescent="0.4">
      <c r="A482" s="10">
        <f t="shared" si="7"/>
        <v>481</v>
      </c>
      <c r="B482" s="10" t="str">
        <f>IF('영어 단어장'!C482="","",'영어 단어장'!C482)</f>
        <v>양심</v>
      </c>
      <c r="C482" s="11"/>
      <c r="D482" s="21" t="str">
        <f>IF(OR(C482="",'영어 단어장'!B482=""),"",IF(EXACT(LOWER(TRIM(C482)),LOWER(TRIM('영어 단어장'!B482))),"",'영어 단어장'!B482))</f>
        <v/>
      </c>
      <c r="E482" s="15" t="str">
        <f>IF(OR(B482="",C482=""),"",IF(EXACT(LOWER(TRIM(C482)),LOWER(TRIM('영어 단어장'!B482))),"⭕","❌"))</f>
        <v/>
      </c>
      <c r="F482" s="12"/>
    </row>
    <row r="483" spans="1:6" ht="21" x14ac:dyDescent="0.4">
      <c r="A483" s="10">
        <f t="shared" si="7"/>
        <v>482</v>
      </c>
      <c r="B483" s="10" t="str">
        <f>IF('영어 단어장'!C483="","",'영어 단어장'!C483)</f>
        <v>시련</v>
      </c>
      <c r="C483" s="11"/>
      <c r="D483" s="21" t="str">
        <f>IF(OR(C483="",'영어 단어장'!B483=""),"",IF(EXACT(LOWER(TRIM(C483)),LOWER(TRIM('영어 단어장'!B483))),"",'영어 단어장'!B483))</f>
        <v/>
      </c>
      <c r="E483" s="15" t="str">
        <f>IF(OR(B483="",C483=""),"",IF(EXACT(LOWER(TRIM(C483)),LOWER(TRIM('영어 단어장'!B483))),"⭕","❌"))</f>
        <v/>
      </c>
      <c r="F483" s="12"/>
    </row>
    <row r="484" spans="1:6" ht="21" x14ac:dyDescent="0.4">
      <c r="A484" s="10">
        <f t="shared" si="7"/>
        <v>483</v>
      </c>
      <c r="B484" s="10" t="str">
        <f>IF('영어 단어장'!C484="","",'영어 단어장'!C484)</f>
        <v>고문하다, 괴롭히다</v>
      </c>
      <c r="C484" s="11"/>
      <c r="D484" s="21" t="str">
        <f>IF(OR(C484="",'영어 단어장'!B484=""),"",IF(EXACT(LOWER(TRIM(C484)),LOWER(TRIM('영어 단어장'!B484))),"",'영어 단어장'!B484))</f>
        <v/>
      </c>
      <c r="E484" s="15" t="str">
        <f>IF(OR(B484="",C484=""),"",IF(EXACT(LOWER(TRIM(C484)),LOWER(TRIM('영어 단어장'!B484))),"⭕","❌"))</f>
        <v/>
      </c>
      <c r="F484" s="12"/>
    </row>
    <row r="485" spans="1:6" ht="21" x14ac:dyDescent="0.4">
      <c r="A485" s="10">
        <f t="shared" si="7"/>
        <v>484</v>
      </c>
      <c r="B485" s="10" t="str">
        <f>IF('영어 단어장'!C485="","",'영어 단어장'!C485)</f>
        <v>고통을 주다</v>
      </c>
      <c r="C485" s="11"/>
      <c r="D485" s="21" t="str">
        <f>IF(OR(C485="",'영어 단어장'!B485=""),"",IF(EXACT(LOWER(TRIM(C485)),LOWER(TRIM('영어 단어장'!B485))),"",'영어 단어장'!B485))</f>
        <v/>
      </c>
      <c r="E485" s="15" t="str">
        <f>IF(OR(B485="",C485=""),"",IF(EXACT(LOWER(TRIM(C485)),LOWER(TRIM('영어 단어장'!B485))),"⭕","❌"))</f>
        <v/>
      </c>
      <c r="F485" s="12"/>
    </row>
    <row r="486" spans="1:6" ht="21" x14ac:dyDescent="0.4">
      <c r="A486" s="10">
        <f t="shared" si="7"/>
        <v>485</v>
      </c>
      <c r="B486" s="10" t="str">
        <f>IF('영어 단어장'!C486="","",'영어 단어장'!C486)</f>
        <v>짜증나게 하다</v>
      </c>
      <c r="C486" s="11"/>
      <c r="D486" s="21" t="str">
        <f>IF(OR(C486="",'영어 단어장'!B486=""),"",IF(EXACT(LOWER(TRIM(C486)),LOWER(TRIM('영어 단어장'!B486))),"",'영어 단어장'!B486))</f>
        <v/>
      </c>
      <c r="E486" s="15" t="str">
        <f>IF(OR(B486="",C486=""),"",IF(EXACT(LOWER(TRIM(C486)),LOWER(TRIM('영어 단어장'!B486))),"⭕","❌"))</f>
        <v/>
      </c>
      <c r="F486" s="12"/>
    </row>
    <row r="487" spans="1:6" ht="21" x14ac:dyDescent="0.4">
      <c r="A487" s="10">
        <f t="shared" si="7"/>
        <v>486</v>
      </c>
      <c r="B487" s="10" t="str">
        <f>IF('영어 단어장'!C487="","",'영어 단어장'!C487)</f>
        <v>손상하다</v>
      </c>
      <c r="C487" s="11"/>
      <c r="D487" s="21" t="str">
        <f>IF(OR(C487="",'영어 단어장'!B487=""),"",IF(EXACT(LOWER(TRIM(C487)),LOWER(TRIM('영어 단어장'!B487))),"",'영어 단어장'!B487))</f>
        <v/>
      </c>
      <c r="E487" s="15" t="str">
        <f>IF(OR(B487="",C487=""),"",IF(EXACT(LOWER(TRIM(C487)),LOWER(TRIM('영어 단어장'!B487))),"⭕","❌"))</f>
        <v/>
      </c>
      <c r="F487" s="12"/>
    </row>
    <row r="488" spans="1:6" ht="21" x14ac:dyDescent="0.4">
      <c r="A488" s="10">
        <f t="shared" si="7"/>
        <v>487</v>
      </c>
      <c r="B488" s="10" t="str">
        <f>IF('영어 단어장'!C488="","",'영어 단어장'!C488)</f>
        <v>학살하다</v>
      </c>
      <c r="C488" s="11"/>
      <c r="D488" s="21" t="str">
        <f>IF(OR(C488="",'영어 단어장'!B488=""),"",IF(EXACT(LOWER(TRIM(C488)),LOWER(TRIM('영어 단어장'!B488))),"",'영어 단어장'!B488))</f>
        <v/>
      </c>
      <c r="E488" s="15" t="str">
        <f>IF(OR(B488="",C488=""),"",IF(EXACT(LOWER(TRIM(C488)),LOWER(TRIM('영어 단어장'!B488))),"⭕","❌"))</f>
        <v/>
      </c>
      <c r="F488" s="12"/>
    </row>
    <row r="489" spans="1:6" ht="21" x14ac:dyDescent="0.4">
      <c r="A489" s="10">
        <f t="shared" si="7"/>
        <v>488</v>
      </c>
      <c r="B489" s="10" t="str">
        <f>IF('영어 단어장'!C489="","",'영어 단어장'!C489)</f>
        <v>학살하다</v>
      </c>
      <c r="C489" s="11"/>
      <c r="D489" s="21" t="str">
        <f>IF(OR(C489="",'영어 단어장'!B489=""),"",IF(EXACT(LOWER(TRIM(C489)),LOWER(TRIM('영어 단어장'!B489))),"",'영어 단어장'!B489))</f>
        <v/>
      </c>
      <c r="E489" s="15" t="str">
        <f>IF(OR(B489="",C489=""),"",IF(EXACT(LOWER(TRIM(C489)),LOWER(TRIM('영어 단어장'!B489))),"⭕","❌"))</f>
        <v/>
      </c>
      <c r="F489" s="12"/>
    </row>
    <row r="490" spans="1:6" ht="21" x14ac:dyDescent="0.4">
      <c r="A490" s="10">
        <f t="shared" si="7"/>
        <v>489</v>
      </c>
      <c r="B490" s="10" t="str">
        <f>IF('영어 단어장'!C490="","",'영어 단어장'!C490)</f>
        <v>빼기, 공제</v>
      </c>
      <c r="C490" s="11"/>
      <c r="D490" s="21" t="str">
        <f>IF(OR(C490="",'영어 단어장'!B490=""),"",IF(EXACT(LOWER(TRIM(C490)),LOWER(TRIM('영어 단어장'!B490))),"",'영어 단어장'!B490))</f>
        <v/>
      </c>
      <c r="E490" s="15" t="str">
        <f>IF(OR(B490="",C490=""),"",IF(EXACT(LOWER(TRIM(C490)),LOWER(TRIM('영어 단어장'!B490))),"⭕","❌"))</f>
        <v/>
      </c>
      <c r="F490" s="12"/>
    </row>
    <row r="491" spans="1:6" ht="21" x14ac:dyDescent="0.4">
      <c r="A491" s="10">
        <f t="shared" si="7"/>
        <v>490</v>
      </c>
      <c r="B491" s="10" t="str">
        <f>IF('영어 단어장'!C491="","",'영어 단어장'!C491)</f>
        <v>가짜의, 흉내내다</v>
      </c>
      <c r="C491" s="11"/>
      <c r="D491" s="21" t="str">
        <f>IF(OR(C491="",'영어 단어장'!B491=""),"",IF(EXACT(LOWER(TRIM(C491)),LOWER(TRIM('영어 단어장'!B491))),"",'영어 단어장'!B491))</f>
        <v/>
      </c>
      <c r="E491" s="15" t="str">
        <f>IF(OR(B491="",C491=""),"",IF(EXACT(LOWER(TRIM(C491)),LOWER(TRIM('영어 단어장'!B491))),"⭕","❌"))</f>
        <v/>
      </c>
      <c r="F491" s="12"/>
    </row>
    <row r="492" spans="1:6" ht="21" x14ac:dyDescent="0.4">
      <c r="A492" s="10">
        <f t="shared" si="7"/>
        <v>491</v>
      </c>
      <c r="B492" s="10" t="str">
        <f>IF('영어 단어장'!C492="","",'영어 단어장'!C492)</f>
        <v>단념시키다</v>
      </c>
      <c r="C492" s="11"/>
      <c r="D492" s="21" t="str">
        <f>IF(OR(C492="",'영어 단어장'!B492=""),"",IF(EXACT(LOWER(TRIM(C492)),LOWER(TRIM('영어 단어장'!B492))),"",'영어 단어장'!B492))</f>
        <v/>
      </c>
      <c r="E492" s="15" t="str">
        <f>IF(OR(B492="",C492=""),"",IF(EXACT(LOWER(TRIM(C492)),LOWER(TRIM('영어 단어장'!B492))),"⭕","❌"))</f>
        <v/>
      </c>
      <c r="F492" s="12"/>
    </row>
    <row r="493" spans="1:6" ht="21" x14ac:dyDescent="0.4">
      <c r="A493" s="10">
        <f t="shared" si="7"/>
        <v>492</v>
      </c>
      <c r="B493" s="10" t="str">
        <f>IF('영어 단어장'!C493="","",'영어 단어장'!C493)</f>
        <v>괴롭히다, 고통</v>
      </c>
      <c r="C493" s="11"/>
      <c r="D493" s="21" t="str">
        <f>IF(OR(C493="",'영어 단어장'!B493=""),"",IF(EXACT(LOWER(TRIM(C493)),LOWER(TRIM('영어 단어장'!B493))),"",'영어 단어장'!B493))</f>
        <v/>
      </c>
      <c r="E493" s="15" t="str">
        <f>IF(OR(B493="",C493=""),"",IF(EXACT(LOWER(TRIM(C493)),LOWER(TRIM('영어 단어장'!B493))),"⭕","❌"))</f>
        <v/>
      </c>
      <c r="F493" s="12"/>
    </row>
    <row r="494" spans="1:6" ht="21" x14ac:dyDescent="0.4">
      <c r="A494" s="10">
        <f t="shared" si="7"/>
        <v>493</v>
      </c>
      <c r="B494" s="10" t="str">
        <f>IF('영어 단어장'!C494="","",'영어 단어장'!C494)</f>
        <v>못쓰게 하다</v>
      </c>
      <c r="C494" s="11"/>
      <c r="D494" s="21" t="str">
        <f>IF(OR(C494="",'영어 단어장'!B494=""),"",IF(EXACT(LOWER(TRIM(C494)),LOWER(TRIM('영어 단어장'!B494))),"",'영어 단어장'!B494))</f>
        <v/>
      </c>
      <c r="E494" s="15" t="str">
        <f>IF(OR(B494="",C494=""),"",IF(EXACT(LOWER(TRIM(C494)),LOWER(TRIM('영어 단어장'!B494))),"⭕","❌"))</f>
        <v/>
      </c>
      <c r="F494" s="12"/>
    </row>
    <row r="495" spans="1:6" ht="21" x14ac:dyDescent="0.4">
      <c r="A495" s="10">
        <f t="shared" si="7"/>
        <v>494</v>
      </c>
      <c r="B495" s="10" t="str">
        <f>IF('영어 단어장'!C495="","",'영어 단어장'!C495)</f>
        <v>광대함</v>
      </c>
      <c r="C495" s="11"/>
      <c r="D495" s="21" t="str">
        <f>IF(OR(C495="",'영어 단어장'!B495=""),"",IF(EXACT(LOWER(TRIM(C495)),LOWER(TRIM('영어 단어장'!B495))),"",'영어 단어장'!B495))</f>
        <v/>
      </c>
      <c r="E495" s="15" t="str">
        <f>IF(OR(B495="",C495=""),"",IF(EXACT(LOWER(TRIM(C495)),LOWER(TRIM('영어 단어장'!B495))),"⭕","❌"))</f>
        <v/>
      </c>
      <c r="F495" s="12"/>
    </row>
    <row r="496" spans="1:6" ht="21" x14ac:dyDescent="0.4">
      <c r="A496" s="10">
        <f t="shared" si="7"/>
        <v>495</v>
      </c>
      <c r="B496" s="10" t="str">
        <f>IF('영어 단어장'!C496="","",'영어 단어장'!C496)</f>
        <v>고민, 번민</v>
      </c>
      <c r="C496" s="11"/>
      <c r="D496" s="21" t="str">
        <f>IF(OR(C496="",'영어 단어장'!B496=""),"",IF(EXACT(LOWER(TRIM(C496)),LOWER(TRIM('영어 단어장'!B496))),"",'영어 단어장'!B496))</f>
        <v/>
      </c>
      <c r="E496" s="15" t="str">
        <f>IF(OR(B496="",C496=""),"",IF(EXACT(LOWER(TRIM(C496)),LOWER(TRIM('영어 단어장'!B496))),"⭕","❌"))</f>
        <v/>
      </c>
      <c r="F496" s="12"/>
    </row>
    <row r="497" spans="1:6" ht="21" x14ac:dyDescent="0.4">
      <c r="A497" s="10">
        <f t="shared" si="7"/>
        <v>496</v>
      </c>
      <c r="B497" s="10" t="str">
        <f>IF('영어 단어장'!C497="","",'영어 단어장'!C497)</f>
        <v>사로잡다</v>
      </c>
      <c r="C497" s="11"/>
      <c r="D497" s="21" t="str">
        <f>IF(OR(C497="",'영어 단어장'!B497=""),"",IF(EXACT(LOWER(TRIM(C497)),LOWER(TRIM('영어 단어장'!B497))),"",'영어 단어장'!B497))</f>
        <v/>
      </c>
      <c r="E497" s="15" t="str">
        <f>IF(OR(B497="",C497=""),"",IF(EXACT(LOWER(TRIM(C497)),LOWER(TRIM('영어 단어장'!B497))),"⭕","❌"))</f>
        <v/>
      </c>
      <c r="F497" s="12"/>
    </row>
    <row r="498" spans="1:6" ht="21" x14ac:dyDescent="0.4">
      <c r="A498" s="10">
        <f t="shared" si="7"/>
        <v>497</v>
      </c>
      <c r="B498" s="10" t="str">
        <f>IF('영어 단어장'!C498="","",'영어 단어장'!C498)</f>
        <v>슬픔, 비탄</v>
      </c>
      <c r="C498" s="11"/>
      <c r="D498" s="21" t="str">
        <f>IF(OR(C498="",'영어 단어장'!B498=""),"",IF(EXACT(LOWER(TRIM(C498)),LOWER(TRIM('영어 단어장'!B498))),"",'영어 단어장'!B498))</f>
        <v/>
      </c>
      <c r="E498" s="15" t="str">
        <f>IF(OR(B498="",C498=""),"",IF(EXACT(LOWER(TRIM(C498)),LOWER(TRIM('영어 단어장'!B498))),"⭕","❌"))</f>
        <v/>
      </c>
      <c r="F498" s="12"/>
    </row>
    <row r="499" spans="1:6" ht="21" x14ac:dyDescent="0.4">
      <c r="A499" s="10">
        <f t="shared" si="7"/>
        <v>498</v>
      </c>
      <c r="B499" s="10" t="str">
        <f>IF('영어 단어장'!C499="","",'영어 단어장'!C499)</f>
        <v>제정신이 아닌</v>
      </c>
      <c r="C499" s="11"/>
      <c r="D499" s="21" t="str">
        <f>IF(OR(C499="",'영어 단어장'!B499=""),"",IF(EXACT(LOWER(TRIM(C499)),LOWER(TRIM('영어 단어장'!B499))),"",'영어 단어장'!B499))</f>
        <v/>
      </c>
      <c r="E499" s="15" t="str">
        <f>IF(OR(B499="",C499=""),"",IF(EXACT(LOWER(TRIM(C499)),LOWER(TRIM('영어 단어장'!B499))),"⭕","❌"))</f>
        <v/>
      </c>
      <c r="F499" s="12"/>
    </row>
    <row r="500" spans="1:6" ht="21" x14ac:dyDescent="0.4">
      <c r="A500" s="10">
        <f t="shared" si="7"/>
        <v>499</v>
      </c>
      <c r="B500" s="10" t="str">
        <f>IF('영어 단어장'!C500="","",'영어 단어장'!C500)</f>
        <v>혹독한, 고통스러운</v>
      </c>
      <c r="C500" s="11"/>
      <c r="D500" s="21" t="str">
        <f>IF(OR(C500="",'영어 단어장'!B500=""),"",IF(EXACT(LOWER(TRIM(C500)),LOWER(TRIM('영어 단어장'!B500))),"",'영어 단어장'!B500))</f>
        <v/>
      </c>
      <c r="E500" s="15" t="str">
        <f>IF(OR(B500="",C500=""),"",IF(EXACT(LOWER(TRIM(C500)),LOWER(TRIM('영어 단어장'!B500))),"⭕","❌"))</f>
        <v/>
      </c>
      <c r="F500" s="12"/>
    </row>
    <row r="501" spans="1:6" ht="21" x14ac:dyDescent="0.4">
      <c r="A501" s="10">
        <f t="shared" si="7"/>
        <v>500</v>
      </c>
      <c r="B501" s="10" t="str">
        <f>IF('영어 단어장'!C501="","",'영어 단어장'!C501)</f>
        <v>아픈</v>
      </c>
      <c r="C501" s="11"/>
      <c r="D501" s="21" t="str">
        <f>IF(OR(C501="",'영어 단어장'!B501=""),"",IF(EXACT(LOWER(TRIM(C501)),LOWER(TRIM('영어 단어장'!B501))),"",'영어 단어장'!B501))</f>
        <v/>
      </c>
      <c r="E501" s="15" t="str">
        <f>IF(OR(B501="",C501=""),"",IF(EXACT(LOWER(TRIM(C501)),LOWER(TRIM('영어 단어장'!B501))),"⭕","❌"))</f>
        <v/>
      </c>
      <c r="F501" s="1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30724-9DBE-442F-BA2D-EB9834B7EE1C}">
  <dimension ref="A1:E15"/>
  <sheetViews>
    <sheetView workbookViewId="0">
      <selection activeCell="B5" sqref="B5"/>
    </sheetView>
  </sheetViews>
  <sheetFormatPr defaultRowHeight="17.399999999999999" x14ac:dyDescent="0.4"/>
  <cols>
    <col min="1" max="1" width="18" style="24" customWidth="1"/>
    <col min="2" max="2" width="24" style="24" customWidth="1"/>
    <col min="3" max="3" width="20" style="24" customWidth="1"/>
    <col min="4" max="4" width="22" style="24" customWidth="1"/>
    <col min="5" max="5" width="35" style="24" customWidth="1"/>
    <col min="6" max="16384" width="8.796875" style="24"/>
  </cols>
  <sheetData>
    <row r="1" spans="1:5" x14ac:dyDescent="0.4">
      <c r="A1" s="39" t="s">
        <v>1022</v>
      </c>
      <c r="B1" s="37"/>
      <c r="C1" s="37"/>
      <c r="D1" s="37"/>
      <c r="E1" s="37"/>
    </row>
    <row r="2" spans="1:5" ht="30" customHeight="1" x14ac:dyDescent="0.4">
      <c r="A2" s="36" t="s">
        <v>1021</v>
      </c>
      <c r="B2" s="37"/>
      <c r="C2" s="37"/>
      <c r="D2" s="37"/>
      <c r="E2" s="37"/>
    </row>
    <row r="4" spans="1:5" x14ac:dyDescent="0.4">
      <c r="A4" s="28" t="s">
        <v>1020</v>
      </c>
      <c r="B4" s="28" t="s">
        <v>1019</v>
      </c>
      <c r="C4" s="28" t="s">
        <v>1018</v>
      </c>
      <c r="D4" s="28" t="s">
        <v>1017</v>
      </c>
      <c r="E4" s="28" t="s">
        <v>1016</v>
      </c>
    </row>
    <row r="5" spans="1:5" ht="127.95" customHeight="1" x14ac:dyDescent="0.4">
      <c r="A5" s="27" t="s">
        <v>1015</v>
      </c>
      <c r="B5" s="26" t="s">
        <v>1014</v>
      </c>
      <c r="C5" s="26" t="s">
        <v>1013</v>
      </c>
      <c r="D5" s="26" t="s">
        <v>1012</v>
      </c>
      <c r="E5" s="25" t="s">
        <v>1011</v>
      </c>
    </row>
    <row r="6" spans="1:5" ht="64.05" customHeight="1" x14ac:dyDescent="0.4">
      <c r="A6" s="27" t="s">
        <v>1010</v>
      </c>
      <c r="B6" s="26" t="s">
        <v>1009</v>
      </c>
      <c r="C6" s="26" t="s">
        <v>1008</v>
      </c>
      <c r="D6" s="26" t="s">
        <v>1007</v>
      </c>
      <c r="E6" s="25" t="s">
        <v>1006</v>
      </c>
    </row>
    <row r="7" spans="1:5" ht="79.95" customHeight="1" x14ac:dyDescent="0.4">
      <c r="A7" s="27" t="s">
        <v>1005</v>
      </c>
      <c r="B7" s="26" t="s">
        <v>1004</v>
      </c>
      <c r="C7" s="26" t="s">
        <v>1003</v>
      </c>
      <c r="D7" s="26" t="s">
        <v>1002</v>
      </c>
      <c r="E7" s="25" t="s">
        <v>1001</v>
      </c>
    </row>
    <row r="8" spans="1:5" ht="127.95" customHeight="1" x14ac:dyDescent="0.4">
      <c r="A8" s="27" t="s">
        <v>1000</v>
      </c>
      <c r="B8" s="26" t="s">
        <v>999</v>
      </c>
      <c r="C8" s="26" t="s">
        <v>998</v>
      </c>
      <c r="D8" s="26" t="s">
        <v>997</v>
      </c>
      <c r="E8" s="25" t="s">
        <v>996</v>
      </c>
    </row>
    <row r="9" spans="1:5" ht="64.05" customHeight="1" x14ac:dyDescent="0.4">
      <c r="A9" s="27" t="s">
        <v>995</v>
      </c>
      <c r="B9" s="26" t="s">
        <v>994</v>
      </c>
      <c r="C9" s="26" t="s">
        <v>993</v>
      </c>
      <c r="D9" s="26" t="s">
        <v>992</v>
      </c>
      <c r="E9" s="25" t="s">
        <v>991</v>
      </c>
    </row>
    <row r="10" spans="1:5" ht="79.95" customHeight="1" x14ac:dyDescent="0.4">
      <c r="A10" s="27" t="s">
        <v>990</v>
      </c>
      <c r="B10" s="26" t="s">
        <v>989</v>
      </c>
      <c r="C10" s="26"/>
      <c r="D10" s="26" t="s">
        <v>988</v>
      </c>
      <c r="E10" s="25" t="s">
        <v>987</v>
      </c>
    </row>
    <row r="11" spans="1:5" ht="79.95" customHeight="1" x14ac:dyDescent="0.4">
      <c r="A11" s="27" t="s">
        <v>986</v>
      </c>
      <c r="B11" s="26"/>
      <c r="C11" s="26" t="s">
        <v>985</v>
      </c>
      <c r="D11" s="26" t="s">
        <v>984</v>
      </c>
      <c r="E11" s="25" t="s">
        <v>983</v>
      </c>
    </row>
    <row r="12" spans="1:5" ht="60" customHeight="1" x14ac:dyDescent="0.4">
      <c r="A12" s="27" t="s">
        <v>982</v>
      </c>
      <c r="B12" s="26" t="s">
        <v>981</v>
      </c>
      <c r="C12" s="26" t="s">
        <v>980</v>
      </c>
      <c r="D12" s="26" t="s">
        <v>979</v>
      </c>
      <c r="E12" s="25"/>
    </row>
    <row r="14" spans="1:5" ht="30" customHeight="1" x14ac:dyDescent="0.4">
      <c r="A14" s="40" t="s">
        <v>978</v>
      </c>
      <c r="B14" s="37"/>
      <c r="C14" s="37"/>
      <c r="D14" s="37"/>
      <c r="E14" s="37"/>
    </row>
    <row r="15" spans="1:5" ht="25.05" customHeight="1" x14ac:dyDescent="0.4">
      <c r="A15" s="38" t="s">
        <v>977</v>
      </c>
      <c r="B15" s="37"/>
      <c r="C15" s="37"/>
      <c r="D15" s="37"/>
      <c r="E15" s="37"/>
    </row>
  </sheetData>
  <mergeCells count="4">
    <mergeCell ref="A2:E2"/>
    <mergeCell ref="A15:E15"/>
    <mergeCell ref="A1:E1"/>
    <mergeCell ref="A14:E14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E099D-EA6C-454E-8D49-4A91882CFD38}">
  <dimension ref="A1:H501"/>
  <sheetViews>
    <sheetView workbookViewId="0">
      <pane ySplit="1" topLeftCell="A59" activePane="bottomLeft" state="frozen"/>
      <selection pane="bottomLeft" activeCell="E52" sqref="E52"/>
    </sheetView>
  </sheetViews>
  <sheetFormatPr defaultRowHeight="17.399999999999999" x14ac:dyDescent="0.4"/>
  <cols>
    <col min="1" max="1" width="6.69921875" customWidth="1"/>
    <col min="2" max="2" width="20" customWidth="1"/>
    <col min="3" max="3" width="20.8984375" customWidth="1"/>
    <col min="4" max="4" width="16.296875" customWidth="1"/>
    <col min="5" max="5" width="70.59765625" customWidth="1"/>
    <col min="6" max="6" width="13.296875" customWidth="1"/>
    <col min="7" max="7" width="15.796875" customWidth="1"/>
  </cols>
  <sheetData>
    <row r="1" spans="1:8" ht="18" customHeight="1" x14ac:dyDescent="0.4">
      <c r="A1" s="2" t="s">
        <v>2</v>
      </c>
      <c r="B1" s="2" t="s">
        <v>3</v>
      </c>
      <c r="C1" s="2" t="s">
        <v>0</v>
      </c>
      <c r="D1" s="2" t="s">
        <v>1023</v>
      </c>
      <c r="E1" s="2" t="s">
        <v>1</v>
      </c>
      <c r="F1" s="2" t="s">
        <v>4</v>
      </c>
      <c r="G1" s="2" t="s">
        <v>5</v>
      </c>
      <c r="H1" s="2" t="s">
        <v>819</v>
      </c>
    </row>
    <row r="2" spans="1:8" x14ac:dyDescent="0.4">
      <c r="A2" s="29">
        <v>1</v>
      </c>
      <c r="B2" s="29" t="s">
        <v>1024</v>
      </c>
      <c r="C2" s="29" t="s">
        <v>1050</v>
      </c>
      <c r="D2" s="29" t="s">
        <v>1075</v>
      </c>
      <c r="E2" s="30" t="s">
        <v>1076</v>
      </c>
      <c r="F2" s="29"/>
      <c r="G2" s="31"/>
      <c r="H2" s="29"/>
    </row>
    <row r="3" spans="1:8" x14ac:dyDescent="0.4">
      <c r="A3" s="29">
        <v>2</v>
      </c>
      <c r="B3" s="29" t="s">
        <v>1025</v>
      </c>
      <c r="C3" s="29" t="s">
        <v>1051</v>
      </c>
      <c r="D3" s="29" t="s">
        <v>1075</v>
      </c>
      <c r="E3" s="30" t="s">
        <v>1077</v>
      </c>
      <c r="F3" s="29"/>
      <c r="G3" s="31"/>
      <c r="H3" s="29"/>
    </row>
    <row r="4" spans="1:8" x14ac:dyDescent="0.4">
      <c r="A4" s="29">
        <v>3</v>
      </c>
      <c r="B4" s="29" t="s">
        <v>1025</v>
      </c>
      <c r="C4" s="29" t="s">
        <v>1052</v>
      </c>
      <c r="D4" s="29" t="s">
        <v>1075</v>
      </c>
      <c r="E4" s="30" t="s">
        <v>1078</v>
      </c>
      <c r="F4" s="29"/>
      <c r="G4" s="31"/>
      <c r="H4" s="29"/>
    </row>
    <row r="5" spans="1:8" x14ac:dyDescent="0.4">
      <c r="A5" s="29">
        <v>4</v>
      </c>
      <c r="B5" s="29" t="s">
        <v>1026</v>
      </c>
      <c r="C5" s="29" t="s">
        <v>1053</v>
      </c>
      <c r="D5" s="29" t="s">
        <v>1075</v>
      </c>
      <c r="E5" s="30" t="s">
        <v>1079</v>
      </c>
      <c r="F5" s="29"/>
      <c r="G5" s="31"/>
      <c r="H5" s="29"/>
    </row>
    <row r="6" spans="1:8" x14ac:dyDescent="0.4">
      <c r="A6" s="29">
        <v>5</v>
      </c>
      <c r="B6" s="29" t="s">
        <v>1026</v>
      </c>
      <c r="C6" s="29" t="s">
        <v>1059</v>
      </c>
      <c r="D6" s="29" t="s">
        <v>1075</v>
      </c>
      <c r="E6" s="30" t="s">
        <v>1080</v>
      </c>
      <c r="F6" s="29"/>
      <c r="G6" s="31"/>
      <c r="H6" s="29"/>
    </row>
    <row r="7" spans="1:8" x14ac:dyDescent="0.4">
      <c r="A7" s="29">
        <v>6</v>
      </c>
      <c r="B7" s="29" t="s">
        <v>1027</v>
      </c>
      <c r="C7" s="29" t="s">
        <v>1054</v>
      </c>
      <c r="D7" s="29" t="s">
        <v>1075</v>
      </c>
      <c r="E7" s="30" t="s">
        <v>1081</v>
      </c>
      <c r="F7" s="29"/>
      <c r="G7" s="31"/>
      <c r="H7" s="29"/>
    </row>
    <row r="8" spans="1:8" x14ac:dyDescent="0.4">
      <c r="A8" s="29">
        <v>7</v>
      </c>
      <c r="B8" s="29" t="s">
        <v>1028</v>
      </c>
      <c r="C8" s="29" t="s">
        <v>1055</v>
      </c>
      <c r="D8" s="29" t="s">
        <v>1075</v>
      </c>
      <c r="E8" s="30" t="s">
        <v>1082</v>
      </c>
      <c r="F8" s="29"/>
      <c r="G8" s="31"/>
      <c r="H8" s="29"/>
    </row>
    <row r="9" spans="1:8" x14ac:dyDescent="0.4">
      <c r="A9" s="29">
        <v>8</v>
      </c>
      <c r="B9" s="29" t="s">
        <v>1029</v>
      </c>
      <c r="C9" s="29" t="s">
        <v>1084</v>
      </c>
      <c r="D9" s="29" t="s">
        <v>1075</v>
      </c>
      <c r="E9" s="30" t="s">
        <v>1083</v>
      </c>
      <c r="F9" s="29"/>
      <c r="G9" s="31"/>
      <c r="H9" s="29"/>
    </row>
    <row r="10" spans="1:8" x14ac:dyDescent="0.4">
      <c r="A10" s="29">
        <v>9</v>
      </c>
      <c r="B10" s="29" t="s">
        <v>1030</v>
      </c>
      <c r="C10" s="29" t="s">
        <v>1056</v>
      </c>
      <c r="D10" s="29" t="s">
        <v>1075</v>
      </c>
      <c r="E10" s="30" t="s">
        <v>1085</v>
      </c>
      <c r="F10" s="29"/>
      <c r="G10" s="31"/>
      <c r="H10" s="29"/>
    </row>
    <row r="11" spans="1:8" x14ac:dyDescent="0.4">
      <c r="A11" s="29">
        <v>10</v>
      </c>
      <c r="B11" s="29" t="s">
        <v>1031</v>
      </c>
      <c r="C11" s="29" t="s">
        <v>1057</v>
      </c>
      <c r="D11" s="29" t="s">
        <v>1075</v>
      </c>
      <c r="E11" s="30" t="s">
        <v>1086</v>
      </c>
      <c r="F11" s="29"/>
      <c r="G11" s="31"/>
      <c r="H11" s="29"/>
    </row>
    <row r="12" spans="1:8" x14ac:dyDescent="0.4">
      <c r="A12" s="29">
        <v>11</v>
      </c>
      <c r="B12" s="29" t="s">
        <v>1032</v>
      </c>
      <c r="C12" s="29" t="s">
        <v>1058</v>
      </c>
      <c r="D12" s="29" t="s">
        <v>1075</v>
      </c>
      <c r="E12" s="30" t="s">
        <v>1087</v>
      </c>
      <c r="F12" s="29"/>
      <c r="G12" s="31"/>
      <c r="H12" s="29"/>
    </row>
    <row r="13" spans="1:8" x14ac:dyDescent="0.4">
      <c r="A13" s="29">
        <v>12</v>
      </c>
      <c r="B13" s="29" t="s">
        <v>1033</v>
      </c>
      <c r="C13" s="29" t="s">
        <v>1059</v>
      </c>
      <c r="D13" s="29" t="s">
        <v>1075</v>
      </c>
      <c r="E13" s="30" t="s">
        <v>1088</v>
      </c>
      <c r="F13" s="29"/>
      <c r="G13" s="31"/>
      <c r="H13" s="29"/>
    </row>
    <row r="14" spans="1:8" x14ac:dyDescent="0.4">
      <c r="A14" s="29">
        <v>13</v>
      </c>
      <c r="B14" s="29" t="s">
        <v>1034</v>
      </c>
      <c r="C14" s="29" t="s">
        <v>1060</v>
      </c>
      <c r="D14" s="29" t="s">
        <v>1075</v>
      </c>
      <c r="E14" s="30" t="s">
        <v>1089</v>
      </c>
      <c r="F14" s="29"/>
      <c r="G14" s="31"/>
      <c r="H14" s="29"/>
    </row>
    <row r="15" spans="1:8" x14ac:dyDescent="0.4">
      <c r="A15" s="29">
        <v>14</v>
      </c>
      <c r="B15" s="29" t="s">
        <v>1035</v>
      </c>
      <c r="C15" s="29" t="s">
        <v>1061</v>
      </c>
      <c r="D15" s="29" t="s">
        <v>1075</v>
      </c>
      <c r="E15" s="30" t="s">
        <v>1090</v>
      </c>
      <c r="F15" s="29"/>
      <c r="G15" s="31"/>
      <c r="H15" s="29"/>
    </row>
    <row r="16" spans="1:8" x14ac:dyDescent="0.4">
      <c r="A16" s="29">
        <v>15</v>
      </c>
      <c r="B16" s="29" t="s">
        <v>1036</v>
      </c>
      <c r="C16" s="29" t="s">
        <v>1062</v>
      </c>
      <c r="D16" s="29" t="s">
        <v>1075</v>
      </c>
      <c r="E16" s="30" t="s">
        <v>1091</v>
      </c>
      <c r="F16" s="29"/>
      <c r="G16" s="31"/>
      <c r="H16" s="29"/>
    </row>
    <row r="17" spans="1:8" x14ac:dyDescent="0.4">
      <c r="A17" s="29">
        <v>16</v>
      </c>
      <c r="B17" s="29" t="s">
        <v>1037</v>
      </c>
      <c r="C17" s="29" t="s">
        <v>1063</v>
      </c>
      <c r="D17" s="29" t="s">
        <v>1075</v>
      </c>
      <c r="E17" s="30" t="s">
        <v>1092</v>
      </c>
      <c r="F17" s="29"/>
      <c r="G17" s="31"/>
      <c r="H17" s="29"/>
    </row>
    <row r="18" spans="1:8" x14ac:dyDescent="0.4">
      <c r="A18" s="29">
        <v>17</v>
      </c>
      <c r="B18" s="29" t="s">
        <v>1038</v>
      </c>
      <c r="C18" s="29" t="s">
        <v>1052</v>
      </c>
      <c r="D18" s="29" t="s">
        <v>1075</v>
      </c>
      <c r="E18" s="30" t="s">
        <v>1093</v>
      </c>
      <c r="F18" s="29"/>
      <c r="G18" s="31"/>
      <c r="H18" s="29"/>
    </row>
    <row r="19" spans="1:8" x14ac:dyDescent="0.4">
      <c r="A19" s="29">
        <v>18</v>
      </c>
      <c r="B19" s="29" t="s">
        <v>1039</v>
      </c>
      <c r="C19" s="29" t="s">
        <v>1064</v>
      </c>
      <c r="D19" s="29" t="s">
        <v>1075</v>
      </c>
      <c r="E19" s="30" t="s">
        <v>1094</v>
      </c>
      <c r="F19" s="29"/>
      <c r="G19" s="31"/>
      <c r="H19" s="29"/>
    </row>
    <row r="20" spans="1:8" x14ac:dyDescent="0.4">
      <c r="A20" s="29">
        <v>19</v>
      </c>
      <c r="B20" s="29" t="s">
        <v>1040</v>
      </c>
      <c r="C20" s="29" t="s">
        <v>1065</v>
      </c>
      <c r="D20" s="29" t="s">
        <v>1075</v>
      </c>
      <c r="E20" s="30" t="s">
        <v>1095</v>
      </c>
      <c r="F20" s="29"/>
      <c r="G20" s="31"/>
      <c r="H20" s="29"/>
    </row>
    <row r="21" spans="1:8" x14ac:dyDescent="0.4">
      <c r="A21" s="29">
        <v>20</v>
      </c>
      <c r="B21" s="29" t="s">
        <v>1041</v>
      </c>
      <c r="C21" s="29" t="s">
        <v>1066</v>
      </c>
      <c r="D21" s="29" t="s">
        <v>1075</v>
      </c>
      <c r="E21" s="30" t="s">
        <v>1096</v>
      </c>
      <c r="F21" s="29"/>
      <c r="G21" s="31"/>
      <c r="H21" s="29"/>
    </row>
    <row r="22" spans="1:8" x14ac:dyDescent="0.4">
      <c r="A22" s="29">
        <v>21</v>
      </c>
      <c r="B22" s="29" t="s">
        <v>1042</v>
      </c>
      <c r="C22" s="29" t="s">
        <v>1067</v>
      </c>
      <c r="D22" s="29" t="s">
        <v>1075</v>
      </c>
      <c r="E22" s="30" t="s">
        <v>1097</v>
      </c>
      <c r="F22" s="29"/>
      <c r="G22" s="31"/>
      <c r="H22" s="29"/>
    </row>
    <row r="23" spans="1:8" x14ac:dyDescent="0.4">
      <c r="A23" s="29">
        <v>22</v>
      </c>
      <c r="B23" s="29" t="s">
        <v>1043</v>
      </c>
      <c r="C23" s="29" t="s">
        <v>1068</v>
      </c>
      <c r="D23" s="29" t="s">
        <v>1075</v>
      </c>
      <c r="E23" s="30" t="s">
        <v>1098</v>
      </c>
      <c r="F23" s="29"/>
      <c r="G23" s="31"/>
      <c r="H23" s="29"/>
    </row>
    <row r="24" spans="1:8" x14ac:dyDescent="0.4">
      <c r="A24" s="29">
        <v>23</v>
      </c>
      <c r="B24" s="29" t="s">
        <v>1044</v>
      </c>
      <c r="C24" s="29" t="s">
        <v>1069</v>
      </c>
      <c r="D24" s="29" t="s">
        <v>1075</v>
      </c>
      <c r="E24" s="30" t="s">
        <v>1099</v>
      </c>
      <c r="F24" s="29"/>
      <c r="G24" s="31"/>
      <c r="H24" s="29"/>
    </row>
    <row r="25" spans="1:8" x14ac:dyDescent="0.4">
      <c r="A25" s="29">
        <v>24</v>
      </c>
      <c r="B25" s="29" t="s">
        <v>1045</v>
      </c>
      <c r="C25" s="29" t="s">
        <v>1070</v>
      </c>
      <c r="D25" s="29" t="s">
        <v>1075</v>
      </c>
      <c r="E25" s="30" t="s">
        <v>1100</v>
      </c>
      <c r="F25" s="29"/>
      <c r="G25" s="31"/>
      <c r="H25" s="29"/>
    </row>
    <row r="26" spans="1:8" x14ac:dyDescent="0.4">
      <c r="A26" s="29">
        <v>25</v>
      </c>
      <c r="B26" s="29" t="s">
        <v>1046</v>
      </c>
      <c r="C26" s="29" t="s">
        <v>1071</v>
      </c>
      <c r="D26" s="29" t="s">
        <v>1075</v>
      </c>
      <c r="E26" s="30" t="s">
        <v>1101</v>
      </c>
      <c r="F26" s="29"/>
      <c r="G26" s="31"/>
      <c r="H26" s="29"/>
    </row>
    <row r="27" spans="1:8" x14ac:dyDescent="0.4">
      <c r="A27" s="29">
        <v>26</v>
      </c>
      <c r="B27" s="29" t="s">
        <v>1047</v>
      </c>
      <c r="C27" s="29" t="s">
        <v>1072</v>
      </c>
      <c r="D27" s="29" t="s">
        <v>1075</v>
      </c>
      <c r="E27" s="30" t="s">
        <v>1102</v>
      </c>
      <c r="F27" s="29"/>
      <c r="G27" s="31"/>
      <c r="H27" s="29"/>
    </row>
    <row r="28" spans="1:8" x14ac:dyDescent="0.4">
      <c r="A28" s="29">
        <v>27</v>
      </c>
      <c r="B28" s="29" t="s">
        <v>1048</v>
      </c>
      <c r="C28" s="29" t="s">
        <v>1073</v>
      </c>
      <c r="D28" s="29" t="s">
        <v>1075</v>
      </c>
      <c r="E28" s="30" t="s">
        <v>1103</v>
      </c>
      <c r="F28" s="29"/>
      <c r="G28" s="31"/>
      <c r="H28" s="29"/>
    </row>
    <row r="29" spans="1:8" x14ac:dyDescent="0.4">
      <c r="A29" s="29">
        <v>28</v>
      </c>
      <c r="B29" s="29" t="s">
        <v>1049</v>
      </c>
      <c r="C29" s="29" t="s">
        <v>1074</v>
      </c>
      <c r="D29" s="29" t="s">
        <v>1075</v>
      </c>
      <c r="E29" s="30" t="s">
        <v>1104</v>
      </c>
      <c r="F29" s="29"/>
      <c r="G29" s="31"/>
      <c r="H29" s="29"/>
    </row>
    <row r="30" spans="1:8" x14ac:dyDescent="0.4">
      <c r="A30" s="29">
        <v>29</v>
      </c>
      <c r="B30" s="29" t="s">
        <v>1027</v>
      </c>
      <c r="C30" s="29" t="s">
        <v>1120</v>
      </c>
      <c r="D30" s="29" t="s">
        <v>1132</v>
      </c>
      <c r="E30" s="30" t="s">
        <v>1197</v>
      </c>
      <c r="F30" s="29"/>
      <c r="G30" s="31"/>
      <c r="H30" s="29"/>
    </row>
    <row r="31" spans="1:8" x14ac:dyDescent="0.4">
      <c r="A31" s="29">
        <v>30</v>
      </c>
      <c r="B31" s="29" t="s">
        <v>1028</v>
      </c>
      <c r="C31" s="29" t="s">
        <v>1121</v>
      </c>
      <c r="D31" s="29" t="s">
        <v>1132</v>
      </c>
      <c r="E31" s="30" t="s">
        <v>1198</v>
      </c>
      <c r="F31" s="29"/>
      <c r="G31" s="31"/>
      <c r="H31" s="29"/>
    </row>
    <row r="32" spans="1:8" x14ac:dyDescent="0.4">
      <c r="A32" s="29">
        <v>31</v>
      </c>
      <c r="B32" s="29" t="s">
        <v>1029</v>
      </c>
      <c r="C32" s="29" t="s">
        <v>1122</v>
      </c>
      <c r="D32" s="29" t="s">
        <v>1132</v>
      </c>
      <c r="E32" s="30" t="s">
        <v>1199</v>
      </c>
      <c r="F32" s="29"/>
      <c r="G32" s="31"/>
      <c r="H32" s="29"/>
    </row>
    <row r="33" spans="1:8" x14ac:dyDescent="0.4">
      <c r="A33" s="29">
        <v>32</v>
      </c>
      <c r="B33" s="29" t="s">
        <v>1105</v>
      </c>
      <c r="C33" s="29" t="s">
        <v>1123</v>
      </c>
      <c r="D33" s="29" t="s">
        <v>1132</v>
      </c>
      <c r="E33" s="30" t="s">
        <v>1200</v>
      </c>
      <c r="F33" s="29"/>
      <c r="G33" s="31"/>
      <c r="H33" s="29"/>
    </row>
    <row r="34" spans="1:8" x14ac:dyDescent="0.4">
      <c r="A34" s="29">
        <v>33</v>
      </c>
      <c r="B34" s="29" t="s">
        <v>1106</v>
      </c>
      <c r="C34" s="29" t="s">
        <v>1058</v>
      </c>
      <c r="D34" s="29" t="s">
        <v>1132</v>
      </c>
      <c r="E34" s="30" t="s">
        <v>1201</v>
      </c>
      <c r="F34" s="29"/>
      <c r="G34" s="31"/>
      <c r="H34" s="29"/>
    </row>
    <row r="35" spans="1:8" x14ac:dyDescent="0.4">
      <c r="A35" s="29">
        <v>34</v>
      </c>
      <c r="B35" s="29" t="s">
        <v>1107</v>
      </c>
      <c r="C35" s="29" t="s">
        <v>1058</v>
      </c>
      <c r="D35" s="29" t="s">
        <v>1132</v>
      </c>
      <c r="E35" s="30" t="s">
        <v>1202</v>
      </c>
      <c r="F35" s="29"/>
      <c r="G35" s="31"/>
      <c r="H35" s="29"/>
    </row>
    <row r="36" spans="1:8" x14ac:dyDescent="0.4">
      <c r="A36" s="29">
        <v>35</v>
      </c>
      <c r="B36" s="29" t="s">
        <v>1108</v>
      </c>
      <c r="C36" s="29" t="s">
        <v>1058</v>
      </c>
      <c r="D36" s="29" t="s">
        <v>1132</v>
      </c>
      <c r="E36" s="30" t="s">
        <v>1203</v>
      </c>
      <c r="F36" s="29"/>
      <c r="G36" s="31"/>
      <c r="H36" s="29"/>
    </row>
    <row r="37" spans="1:8" x14ac:dyDescent="0.4">
      <c r="A37" s="29">
        <v>36</v>
      </c>
      <c r="B37" s="29" t="s">
        <v>1109</v>
      </c>
      <c r="C37" s="29" t="s">
        <v>1061</v>
      </c>
      <c r="D37" s="29" t="s">
        <v>1132</v>
      </c>
      <c r="E37" s="30" t="s">
        <v>1204</v>
      </c>
      <c r="F37" s="29"/>
      <c r="G37" s="31"/>
      <c r="H37" s="29"/>
    </row>
    <row r="38" spans="1:8" x14ac:dyDescent="0.4">
      <c r="A38" s="29">
        <v>37</v>
      </c>
      <c r="B38" s="29" t="s">
        <v>1110</v>
      </c>
      <c r="C38" s="29" t="s">
        <v>1061</v>
      </c>
      <c r="D38" s="29" t="s">
        <v>1132</v>
      </c>
      <c r="E38" s="30" t="s">
        <v>1205</v>
      </c>
      <c r="F38" s="29"/>
      <c r="G38" s="31"/>
      <c r="H38" s="29"/>
    </row>
    <row r="39" spans="1:8" x14ac:dyDescent="0.4">
      <c r="A39" s="29">
        <v>38</v>
      </c>
      <c r="B39" s="29" t="s">
        <v>1111</v>
      </c>
      <c r="C39" s="29" t="s">
        <v>1124</v>
      </c>
      <c r="D39" s="29" t="s">
        <v>1132</v>
      </c>
      <c r="E39" s="30" t="s">
        <v>1206</v>
      </c>
      <c r="F39" s="29"/>
      <c r="G39" s="31"/>
      <c r="H39" s="29"/>
    </row>
    <row r="40" spans="1:8" x14ac:dyDescent="0.4">
      <c r="A40" s="29">
        <v>39</v>
      </c>
      <c r="B40" s="29" t="s">
        <v>1112</v>
      </c>
      <c r="C40" s="29" t="s">
        <v>1125</v>
      </c>
      <c r="D40" s="29" t="s">
        <v>1132</v>
      </c>
      <c r="E40" s="30" t="s">
        <v>1207</v>
      </c>
      <c r="F40" s="29"/>
      <c r="G40" s="31"/>
      <c r="H40" s="29"/>
    </row>
    <row r="41" spans="1:8" x14ac:dyDescent="0.4">
      <c r="A41" s="29">
        <v>40</v>
      </c>
      <c r="B41" s="29" t="s">
        <v>1113</v>
      </c>
      <c r="C41" s="29" t="s">
        <v>1126</v>
      </c>
      <c r="D41" s="29" t="s">
        <v>1132</v>
      </c>
      <c r="E41" s="30" t="s">
        <v>1208</v>
      </c>
      <c r="F41" s="29"/>
      <c r="G41" s="31"/>
      <c r="H41" s="29"/>
    </row>
    <row r="42" spans="1:8" x14ac:dyDescent="0.4">
      <c r="A42" s="29">
        <v>41</v>
      </c>
      <c r="B42" s="29" t="s">
        <v>1114</v>
      </c>
      <c r="C42" s="29" t="s">
        <v>1127</v>
      </c>
      <c r="D42" s="29" t="s">
        <v>1132</v>
      </c>
      <c r="E42" s="30" t="s">
        <v>1209</v>
      </c>
      <c r="F42" s="29"/>
      <c r="G42" s="31"/>
      <c r="H42" s="29"/>
    </row>
    <row r="43" spans="1:8" x14ac:dyDescent="0.4">
      <c r="A43" s="29">
        <v>42</v>
      </c>
      <c r="B43" s="29" t="s">
        <v>1115</v>
      </c>
      <c r="C43" s="29" t="s">
        <v>1128</v>
      </c>
      <c r="D43" s="29" t="s">
        <v>1132</v>
      </c>
      <c r="E43" s="30" t="s">
        <v>1210</v>
      </c>
      <c r="F43" s="29"/>
      <c r="G43" s="31"/>
      <c r="H43" s="29"/>
    </row>
    <row r="44" spans="1:8" x14ac:dyDescent="0.4">
      <c r="A44" s="29">
        <v>43</v>
      </c>
      <c r="B44" s="29" t="s">
        <v>1116</v>
      </c>
      <c r="C44" s="29" t="s">
        <v>1129</v>
      </c>
      <c r="D44" s="29" t="s">
        <v>1132</v>
      </c>
      <c r="E44" s="30" t="s">
        <v>1211</v>
      </c>
      <c r="F44" s="29"/>
      <c r="G44" s="31"/>
      <c r="H44" s="29"/>
    </row>
    <row r="45" spans="1:8" x14ac:dyDescent="0.4">
      <c r="A45" s="29">
        <v>44</v>
      </c>
      <c r="B45" s="29" t="s">
        <v>1117</v>
      </c>
      <c r="C45" s="29" t="s">
        <v>1130</v>
      </c>
      <c r="D45" s="29" t="s">
        <v>1132</v>
      </c>
      <c r="E45" s="30" t="s">
        <v>1212</v>
      </c>
      <c r="F45" s="29"/>
      <c r="G45" s="31"/>
      <c r="H45" s="29"/>
    </row>
    <row r="46" spans="1:8" x14ac:dyDescent="0.4">
      <c r="A46" s="29">
        <v>45</v>
      </c>
      <c r="B46" s="29" t="s">
        <v>1118</v>
      </c>
      <c r="C46" s="29" t="s">
        <v>1131</v>
      </c>
      <c r="D46" s="29" t="s">
        <v>1132</v>
      </c>
      <c r="E46" s="30" t="s">
        <v>1213</v>
      </c>
      <c r="F46" s="29"/>
      <c r="G46" s="31"/>
      <c r="H46" s="29"/>
    </row>
    <row r="47" spans="1:8" x14ac:dyDescent="0.4">
      <c r="A47" s="29">
        <v>46</v>
      </c>
      <c r="B47" s="29" t="s">
        <v>1119</v>
      </c>
      <c r="C47" s="29" t="s">
        <v>1131</v>
      </c>
      <c r="D47" s="29" t="s">
        <v>1132</v>
      </c>
      <c r="E47" s="30" t="s">
        <v>1214</v>
      </c>
      <c r="F47" s="29"/>
      <c r="G47" s="31"/>
      <c r="H47" s="29"/>
    </row>
    <row r="48" spans="1:8" x14ac:dyDescent="0.4">
      <c r="A48" s="29">
        <v>47</v>
      </c>
      <c r="B48" s="29" t="s">
        <v>1133</v>
      </c>
      <c r="C48" s="29" t="s">
        <v>1156</v>
      </c>
      <c r="D48" s="29" t="s">
        <v>1175</v>
      </c>
      <c r="E48" s="30" t="s">
        <v>1215</v>
      </c>
      <c r="F48" s="29"/>
      <c r="G48" s="31"/>
      <c r="H48" s="29"/>
    </row>
    <row r="49" spans="1:8" x14ac:dyDescent="0.4">
      <c r="A49" s="29">
        <v>48</v>
      </c>
      <c r="B49" s="29" t="s">
        <v>1134</v>
      </c>
      <c r="C49" s="29" t="s">
        <v>1157</v>
      </c>
      <c r="D49" s="29" t="s">
        <v>1175</v>
      </c>
      <c r="E49" s="30" t="s">
        <v>1216</v>
      </c>
      <c r="F49" s="29"/>
      <c r="G49" s="31"/>
      <c r="H49" s="29"/>
    </row>
    <row r="50" spans="1:8" x14ac:dyDescent="0.4">
      <c r="A50" s="29">
        <v>49</v>
      </c>
      <c r="B50" s="29" t="s">
        <v>1135</v>
      </c>
      <c r="C50" s="29" t="s">
        <v>1158</v>
      </c>
      <c r="D50" s="29" t="s">
        <v>1175</v>
      </c>
      <c r="E50" s="30" t="s">
        <v>1217</v>
      </c>
      <c r="F50" s="29"/>
      <c r="G50" s="31"/>
      <c r="H50" s="29"/>
    </row>
    <row r="51" spans="1:8" x14ac:dyDescent="0.4">
      <c r="A51" s="29">
        <v>50</v>
      </c>
      <c r="B51" s="29" t="s">
        <v>1136</v>
      </c>
      <c r="C51" s="29" t="s">
        <v>1159</v>
      </c>
      <c r="D51" s="29" t="s">
        <v>1175</v>
      </c>
      <c r="E51" s="30" t="s">
        <v>1218</v>
      </c>
      <c r="F51" s="29"/>
      <c r="G51" s="31"/>
      <c r="H51" s="29"/>
    </row>
    <row r="52" spans="1:8" x14ac:dyDescent="0.4">
      <c r="A52" s="29">
        <v>51</v>
      </c>
      <c r="B52" s="29" t="s">
        <v>1137</v>
      </c>
      <c r="C52" s="29" t="s">
        <v>1160</v>
      </c>
      <c r="D52" s="29" t="s">
        <v>1175</v>
      </c>
      <c r="E52" s="30" t="s">
        <v>1176</v>
      </c>
      <c r="F52" s="29"/>
      <c r="G52" s="31"/>
      <c r="H52" s="29"/>
    </row>
    <row r="53" spans="1:8" x14ac:dyDescent="0.4">
      <c r="A53" s="29">
        <v>52</v>
      </c>
      <c r="B53" s="29" t="s">
        <v>1138</v>
      </c>
      <c r="C53" s="29" t="s">
        <v>1161</v>
      </c>
      <c r="D53" s="29" t="s">
        <v>1175</v>
      </c>
      <c r="E53" s="30" t="s">
        <v>1177</v>
      </c>
      <c r="F53" s="29"/>
      <c r="G53" s="31"/>
      <c r="H53" s="29"/>
    </row>
    <row r="54" spans="1:8" x14ac:dyDescent="0.4">
      <c r="A54" s="29">
        <v>53</v>
      </c>
      <c r="B54" s="29" t="s">
        <v>1139</v>
      </c>
      <c r="C54" s="29" t="s">
        <v>1162</v>
      </c>
      <c r="D54" s="29" t="s">
        <v>1175</v>
      </c>
      <c r="E54" s="30" t="s">
        <v>1178</v>
      </c>
      <c r="F54" s="29"/>
      <c r="G54" s="31"/>
      <c r="H54" s="29"/>
    </row>
    <row r="55" spans="1:8" x14ac:dyDescent="0.4">
      <c r="A55" s="29">
        <v>54</v>
      </c>
      <c r="B55" s="29" t="s">
        <v>1140</v>
      </c>
      <c r="C55" s="29" t="s">
        <v>1163</v>
      </c>
      <c r="D55" s="29" t="s">
        <v>1175</v>
      </c>
      <c r="E55" s="30" t="s">
        <v>1179</v>
      </c>
      <c r="F55" s="29"/>
      <c r="G55" s="31"/>
      <c r="H55" s="29"/>
    </row>
    <row r="56" spans="1:8" x14ac:dyDescent="0.4">
      <c r="A56" s="29">
        <v>55</v>
      </c>
      <c r="B56" s="29" t="s">
        <v>1141</v>
      </c>
      <c r="C56" s="29" t="s">
        <v>1163</v>
      </c>
      <c r="D56" s="29" t="s">
        <v>1175</v>
      </c>
      <c r="E56" s="30" t="s">
        <v>1180</v>
      </c>
      <c r="F56" s="29"/>
      <c r="G56" s="31"/>
      <c r="H56" s="29"/>
    </row>
    <row r="57" spans="1:8" x14ac:dyDescent="0.4">
      <c r="A57" s="29">
        <v>56</v>
      </c>
      <c r="B57" s="29" t="s">
        <v>1142</v>
      </c>
      <c r="C57" s="29" t="s">
        <v>1164</v>
      </c>
      <c r="D57" s="29" t="s">
        <v>1175</v>
      </c>
      <c r="E57" s="30" t="s">
        <v>1181</v>
      </c>
      <c r="F57" s="29"/>
      <c r="G57" s="31"/>
      <c r="H57" s="29"/>
    </row>
    <row r="58" spans="1:8" x14ac:dyDescent="0.4">
      <c r="A58" s="29">
        <v>57</v>
      </c>
      <c r="B58" s="29" t="s">
        <v>1143</v>
      </c>
      <c r="C58" s="29" t="s">
        <v>1161</v>
      </c>
      <c r="D58" s="29" t="s">
        <v>1175</v>
      </c>
      <c r="E58" s="30" t="s">
        <v>1182</v>
      </c>
      <c r="F58" s="29"/>
      <c r="G58" s="31"/>
      <c r="H58" s="29"/>
    </row>
    <row r="59" spans="1:8" x14ac:dyDescent="0.4">
      <c r="A59" s="29">
        <v>58</v>
      </c>
      <c r="B59" s="29" t="s">
        <v>1138</v>
      </c>
      <c r="C59" s="29" t="s">
        <v>1161</v>
      </c>
      <c r="D59" s="29" t="s">
        <v>1175</v>
      </c>
      <c r="E59" s="30" t="s">
        <v>1183</v>
      </c>
      <c r="F59" s="29"/>
      <c r="G59" s="31"/>
      <c r="H59" s="29"/>
    </row>
    <row r="60" spans="1:8" x14ac:dyDescent="0.4">
      <c r="A60" s="29">
        <v>59</v>
      </c>
      <c r="B60" s="29" t="s">
        <v>1144</v>
      </c>
      <c r="C60" s="29" t="s">
        <v>1159</v>
      </c>
      <c r="D60" s="29" t="s">
        <v>1175</v>
      </c>
      <c r="E60" s="30" t="s">
        <v>1184</v>
      </c>
      <c r="F60" s="29"/>
      <c r="G60" s="31"/>
      <c r="H60" s="29"/>
    </row>
    <row r="61" spans="1:8" x14ac:dyDescent="0.4">
      <c r="A61" s="29">
        <v>60</v>
      </c>
      <c r="B61" s="29" t="s">
        <v>1145</v>
      </c>
      <c r="C61" s="29" t="s">
        <v>1165</v>
      </c>
      <c r="D61" s="29" t="s">
        <v>1175</v>
      </c>
      <c r="E61" s="30" t="s">
        <v>1185</v>
      </c>
      <c r="F61" s="29"/>
      <c r="G61" s="31"/>
      <c r="H61" s="29"/>
    </row>
    <row r="62" spans="1:8" x14ac:dyDescent="0.4">
      <c r="A62" s="29">
        <v>61</v>
      </c>
      <c r="B62" s="29" t="s">
        <v>1146</v>
      </c>
      <c r="C62" s="29" t="s">
        <v>1166</v>
      </c>
      <c r="D62" s="29" t="s">
        <v>1175</v>
      </c>
      <c r="E62" s="30" t="s">
        <v>1186</v>
      </c>
      <c r="F62" s="29"/>
      <c r="G62" s="31"/>
      <c r="H62" s="29"/>
    </row>
    <row r="63" spans="1:8" x14ac:dyDescent="0.4">
      <c r="A63" s="29">
        <v>62</v>
      </c>
      <c r="B63" s="29" t="s">
        <v>1147</v>
      </c>
      <c r="C63" s="29" t="s">
        <v>1167</v>
      </c>
      <c r="D63" s="29" t="s">
        <v>1175</v>
      </c>
      <c r="E63" s="30" t="s">
        <v>1187</v>
      </c>
      <c r="F63" s="29"/>
      <c r="G63" s="31"/>
      <c r="H63" s="29"/>
    </row>
    <row r="64" spans="1:8" x14ac:dyDescent="0.4">
      <c r="A64" s="29">
        <v>63</v>
      </c>
      <c r="B64" s="29" t="s">
        <v>1148</v>
      </c>
      <c r="C64" s="29" t="s">
        <v>1168</v>
      </c>
      <c r="D64" s="29" t="s">
        <v>1175</v>
      </c>
      <c r="E64" s="30" t="s">
        <v>1188</v>
      </c>
      <c r="F64" s="29"/>
      <c r="G64" s="31"/>
      <c r="H64" s="29"/>
    </row>
    <row r="65" spans="1:8" x14ac:dyDescent="0.4">
      <c r="A65" s="29">
        <v>64</v>
      </c>
      <c r="B65" s="29" t="s">
        <v>50</v>
      </c>
      <c r="C65" s="29" t="s">
        <v>1169</v>
      </c>
      <c r="D65" s="29" t="s">
        <v>1175</v>
      </c>
      <c r="E65" s="30" t="s">
        <v>1189</v>
      </c>
      <c r="F65" s="29"/>
      <c r="G65" s="31"/>
      <c r="H65" s="29"/>
    </row>
    <row r="66" spans="1:8" x14ac:dyDescent="0.4">
      <c r="A66" s="29">
        <v>65</v>
      </c>
      <c r="B66" s="29" t="s">
        <v>1149</v>
      </c>
      <c r="C66" s="29" t="s">
        <v>1170</v>
      </c>
      <c r="D66" s="29" t="s">
        <v>1175</v>
      </c>
      <c r="E66" s="30" t="s">
        <v>1190</v>
      </c>
      <c r="F66" s="29"/>
      <c r="G66" s="31"/>
      <c r="H66" s="29"/>
    </row>
    <row r="67" spans="1:8" x14ac:dyDescent="0.4">
      <c r="A67" s="29">
        <v>66</v>
      </c>
      <c r="B67" s="29" t="s">
        <v>1150</v>
      </c>
      <c r="C67" s="29" t="s">
        <v>1169</v>
      </c>
      <c r="D67" s="29" t="s">
        <v>1175</v>
      </c>
      <c r="E67" s="30" t="s">
        <v>1191</v>
      </c>
      <c r="F67" s="29"/>
      <c r="G67" s="31"/>
      <c r="H67" s="29"/>
    </row>
    <row r="68" spans="1:8" x14ac:dyDescent="0.4">
      <c r="A68" s="29">
        <v>67</v>
      </c>
      <c r="B68" s="29" t="s">
        <v>1151</v>
      </c>
      <c r="C68" s="29" t="s">
        <v>1171</v>
      </c>
      <c r="D68" s="29" t="s">
        <v>1175</v>
      </c>
      <c r="E68" s="30" t="s">
        <v>1192</v>
      </c>
      <c r="F68" s="29"/>
      <c r="G68" s="31"/>
      <c r="H68" s="29"/>
    </row>
    <row r="69" spans="1:8" x14ac:dyDescent="0.4">
      <c r="A69" s="29">
        <v>68</v>
      </c>
      <c r="B69" s="29" t="s">
        <v>1152</v>
      </c>
      <c r="C69" s="29" t="s">
        <v>1169</v>
      </c>
      <c r="D69" s="29" t="s">
        <v>1175</v>
      </c>
      <c r="E69" s="30" t="s">
        <v>1193</v>
      </c>
      <c r="F69" s="29"/>
      <c r="G69" s="31"/>
      <c r="H69" s="29"/>
    </row>
    <row r="70" spans="1:8" x14ac:dyDescent="0.4">
      <c r="A70" s="29">
        <v>69</v>
      </c>
      <c r="B70" s="29" t="s">
        <v>1153</v>
      </c>
      <c r="C70" s="29" t="s">
        <v>1172</v>
      </c>
      <c r="D70" s="29" t="s">
        <v>1175</v>
      </c>
      <c r="E70" s="30" t="s">
        <v>1194</v>
      </c>
      <c r="F70" s="29"/>
      <c r="G70" s="31"/>
      <c r="H70" s="29"/>
    </row>
    <row r="71" spans="1:8" x14ac:dyDescent="0.4">
      <c r="A71" s="29">
        <v>70</v>
      </c>
      <c r="B71" s="29" t="s">
        <v>1154</v>
      </c>
      <c r="C71" s="29" t="s">
        <v>1173</v>
      </c>
      <c r="D71" s="29" t="s">
        <v>1175</v>
      </c>
      <c r="E71" s="30" t="s">
        <v>1195</v>
      </c>
      <c r="F71" s="29"/>
      <c r="G71" s="31"/>
      <c r="H71" s="29"/>
    </row>
    <row r="72" spans="1:8" x14ac:dyDescent="0.4">
      <c r="A72" s="29">
        <v>71</v>
      </c>
      <c r="B72" s="29" t="s">
        <v>1155</v>
      </c>
      <c r="C72" s="29" t="s">
        <v>1174</v>
      </c>
      <c r="D72" s="29" t="s">
        <v>1175</v>
      </c>
      <c r="E72" s="30" t="s">
        <v>1196</v>
      </c>
      <c r="F72" s="29"/>
      <c r="G72" s="31"/>
      <c r="H72" s="29"/>
    </row>
    <row r="73" spans="1:8" x14ac:dyDescent="0.4">
      <c r="A73" s="29"/>
      <c r="B73" s="29"/>
      <c r="C73" s="29"/>
      <c r="D73" s="29"/>
      <c r="E73" s="30"/>
      <c r="F73" s="29"/>
      <c r="G73" s="31"/>
      <c r="H73" s="29"/>
    </row>
    <row r="74" spans="1:8" x14ac:dyDescent="0.4">
      <c r="A74" s="29"/>
      <c r="B74" s="29"/>
      <c r="C74" s="29"/>
      <c r="D74" s="29"/>
      <c r="E74" s="30"/>
      <c r="F74" s="29"/>
      <c r="G74" s="31"/>
      <c r="H74" s="29"/>
    </row>
    <row r="75" spans="1:8" x14ac:dyDescent="0.4">
      <c r="A75" s="29"/>
      <c r="B75" s="29"/>
      <c r="C75" s="29"/>
      <c r="D75" s="29"/>
      <c r="E75" s="30"/>
      <c r="F75" s="29"/>
      <c r="G75" s="31"/>
      <c r="H75" s="29"/>
    </row>
    <row r="76" spans="1:8" x14ac:dyDescent="0.4">
      <c r="A76" s="29"/>
      <c r="B76" s="29"/>
      <c r="C76" s="29"/>
      <c r="D76" s="29"/>
      <c r="E76" s="30"/>
      <c r="F76" s="29"/>
      <c r="G76" s="31"/>
      <c r="H76" s="29"/>
    </row>
    <row r="77" spans="1:8" x14ac:dyDescent="0.4">
      <c r="A77" s="29"/>
      <c r="B77" s="29"/>
      <c r="C77" s="29"/>
      <c r="D77" s="29"/>
      <c r="E77" s="30"/>
      <c r="F77" s="29"/>
      <c r="G77" s="31"/>
      <c r="H77" s="29"/>
    </row>
    <row r="78" spans="1:8" x14ac:dyDescent="0.4">
      <c r="A78" s="29"/>
      <c r="B78" s="29"/>
      <c r="C78" s="29"/>
      <c r="D78" s="29"/>
      <c r="E78" s="30"/>
      <c r="F78" s="29"/>
      <c r="G78" s="31"/>
      <c r="H78" s="29"/>
    </row>
    <row r="79" spans="1:8" x14ac:dyDescent="0.4">
      <c r="A79" s="29"/>
      <c r="B79" s="29"/>
      <c r="C79" s="29"/>
      <c r="D79" s="29"/>
      <c r="E79" s="30"/>
      <c r="F79" s="29"/>
      <c r="G79" s="31"/>
      <c r="H79" s="29"/>
    </row>
    <row r="80" spans="1:8" x14ac:dyDescent="0.4">
      <c r="A80" s="29"/>
      <c r="B80" s="29"/>
      <c r="C80" s="29"/>
      <c r="D80" s="29"/>
      <c r="E80" s="30"/>
      <c r="F80" s="29"/>
      <c r="G80" s="31"/>
      <c r="H80" s="29"/>
    </row>
    <row r="81" spans="1:8" x14ac:dyDescent="0.4">
      <c r="A81" s="29"/>
      <c r="B81" s="29"/>
      <c r="C81" s="29"/>
      <c r="D81" s="29"/>
      <c r="E81" s="30"/>
      <c r="F81" s="29"/>
      <c r="G81" s="31"/>
      <c r="H81" s="29"/>
    </row>
    <row r="82" spans="1:8" x14ac:dyDescent="0.4">
      <c r="A82" s="29"/>
      <c r="B82" s="29"/>
      <c r="C82" s="29"/>
      <c r="D82" s="29"/>
      <c r="E82" s="30"/>
      <c r="F82" s="29"/>
      <c r="G82" s="31"/>
      <c r="H82" s="29"/>
    </row>
    <row r="83" spans="1:8" x14ac:dyDescent="0.4">
      <c r="A83" s="29"/>
      <c r="B83" s="29"/>
      <c r="C83" s="29"/>
      <c r="D83" s="29"/>
      <c r="E83" s="30"/>
      <c r="F83" s="29"/>
      <c r="G83" s="31"/>
      <c r="H83" s="29"/>
    </row>
    <row r="84" spans="1:8" x14ac:dyDescent="0.4">
      <c r="A84" s="29"/>
      <c r="B84" s="29"/>
      <c r="C84" s="29"/>
      <c r="D84" s="29"/>
      <c r="E84" s="30"/>
      <c r="F84" s="29"/>
      <c r="G84" s="31"/>
      <c r="H84" s="29"/>
    </row>
    <row r="85" spans="1:8" x14ac:dyDescent="0.4">
      <c r="A85" s="29"/>
      <c r="B85" s="29"/>
      <c r="C85" s="29"/>
      <c r="D85" s="29"/>
      <c r="E85" s="30"/>
      <c r="F85" s="29"/>
      <c r="G85" s="31"/>
      <c r="H85" s="29"/>
    </row>
    <row r="86" spans="1:8" x14ac:dyDescent="0.4">
      <c r="A86" s="29"/>
      <c r="B86" s="29"/>
      <c r="C86" s="29"/>
      <c r="D86" s="29"/>
      <c r="E86" s="30"/>
      <c r="F86" s="29"/>
      <c r="G86" s="31"/>
      <c r="H86" s="29"/>
    </row>
    <row r="87" spans="1:8" x14ac:dyDescent="0.4">
      <c r="A87" s="29"/>
      <c r="B87" s="29"/>
      <c r="C87" s="29"/>
      <c r="D87" s="29"/>
      <c r="E87" s="30"/>
      <c r="F87" s="29"/>
      <c r="G87" s="31"/>
      <c r="H87" s="29"/>
    </row>
    <row r="88" spans="1:8" x14ac:dyDescent="0.4">
      <c r="A88" s="29"/>
      <c r="B88" s="29"/>
      <c r="C88" s="29"/>
      <c r="D88" s="29"/>
      <c r="E88" s="30"/>
      <c r="F88" s="29"/>
      <c r="G88" s="31"/>
      <c r="H88" s="29"/>
    </row>
    <row r="89" spans="1:8" x14ac:dyDescent="0.4">
      <c r="A89" s="29"/>
      <c r="B89" s="29"/>
      <c r="C89" s="29"/>
      <c r="D89" s="29"/>
      <c r="E89" s="30"/>
      <c r="F89" s="29"/>
      <c r="G89" s="31"/>
      <c r="H89" s="29"/>
    </row>
    <row r="90" spans="1:8" x14ac:dyDescent="0.4">
      <c r="A90" s="29"/>
      <c r="B90" s="29"/>
      <c r="C90" s="29"/>
      <c r="D90" s="29"/>
      <c r="E90" s="30"/>
      <c r="F90" s="29"/>
      <c r="G90" s="31"/>
      <c r="H90" s="29"/>
    </row>
    <row r="91" spans="1:8" x14ac:dyDescent="0.4">
      <c r="A91" s="29"/>
      <c r="B91" s="29"/>
      <c r="C91" s="29"/>
      <c r="D91" s="29"/>
      <c r="E91" s="30"/>
      <c r="F91" s="29"/>
      <c r="G91" s="31"/>
      <c r="H91" s="29"/>
    </row>
    <row r="92" spans="1:8" x14ac:dyDescent="0.4">
      <c r="A92" s="29"/>
      <c r="B92" s="29"/>
      <c r="C92" s="29"/>
      <c r="D92" s="29"/>
      <c r="E92" s="30"/>
      <c r="F92" s="29"/>
      <c r="G92" s="31"/>
      <c r="H92" s="29"/>
    </row>
    <row r="93" spans="1:8" x14ac:dyDescent="0.4">
      <c r="A93" s="29"/>
      <c r="B93" s="29"/>
      <c r="C93" s="29"/>
      <c r="D93" s="29"/>
      <c r="E93" s="30"/>
      <c r="F93" s="29"/>
      <c r="G93" s="31"/>
      <c r="H93" s="29"/>
    </row>
    <row r="94" spans="1:8" x14ac:dyDescent="0.4">
      <c r="A94" s="29"/>
      <c r="B94" s="29"/>
      <c r="C94" s="29"/>
      <c r="D94" s="29"/>
      <c r="E94" s="30"/>
      <c r="F94" s="29"/>
      <c r="G94" s="31"/>
      <c r="H94" s="29"/>
    </row>
    <row r="95" spans="1:8" x14ac:dyDescent="0.4">
      <c r="A95" s="29"/>
      <c r="B95" s="29"/>
      <c r="C95" s="29"/>
      <c r="D95" s="29"/>
      <c r="E95" s="30"/>
      <c r="F95" s="29"/>
      <c r="G95" s="31"/>
      <c r="H95" s="29"/>
    </row>
    <row r="96" spans="1:8" x14ac:dyDescent="0.4">
      <c r="A96" s="29"/>
      <c r="B96" s="29"/>
      <c r="C96" s="29"/>
      <c r="D96" s="29"/>
      <c r="E96" s="30"/>
      <c r="F96" s="29"/>
      <c r="G96" s="31"/>
      <c r="H96" s="29"/>
    </row>
    <row r="97" spans="1:8" x14ac:dyDescent="0.4">
      <c r="A97" s="29"/>
      <c r="B97" s="29"/>
      <c r="C97" s="29"/>
      <c r="D97" s="29"/>
      <c r="E97" s="30"/>
      <c r="F97" s="29"/>
      <c r="G97" s="31"/>
      <c r="H97" s="29"/>
    </row>
    <row r="98" spans="1:8" x14ac:dyDescent="0.4">
      <c r="A98" s="29"/>
      <c r="B98" s="29"/>
      <c r="C98" s="29"/>
      <c r="D98" s="29"/>
      <c r="E98" s="30"/>
      <c r="F98" s="29"/>
      <c r="G98" s="31"/>
      <c r="H98" s="29"/>
    </row>
    <row r="99" spans="1:8" x14ac:dyDescent="0.4">
      <c r="A99" s="29"/>
      <c r="B99" s="29"/>
      <c r="C99" s="29"/>
      <c r="D99" s="29"/>
      <c r="E99" s="30"/>
      <c r="F99" s="29"/>
      <c r="G99" s="31"/>
      <c r="H99" s="29"/>
    </row>
    <row r="100" spans="1:8" x14ac:dyDescent="0.4">
      <c r="A100" s="29"/>
      <c r="B100" s="29"/>
      <c r="C100" s="29"/>
      <c r="D100" s="29"/>
      <c r="E100" s="30"/>
      <c r="F100" s="29"/>
      <c r="G100" s="31"/>
      <c r="H100" s="29"/>
    </row>
    <row r="101" spans="1:8" x14ac:dyDescent="0.4">
      <c r="A101" s="29"/>
      <c r="B101" s="29"/>
      <c r="C101" s="29"/>
      <c r="D101" s="29"/>
      <c r="E101" s="30"/>
      <c r="F101" s="29"/>
      <c r="G101" s="31"/>
      <c r="H101" s="29"/>
    </row>
    <row r="102" spans="1:8" x14ac:dyDescent="0.4">
      <c r="A102" s="29"/>
      <c r="B102" s="29"/>
      <c r="C102" s="29"/>
      <c r="D102" s="29"/>
      <c r="E102" s="30"/>
      <c r="F102" s="29"/>
      <c r="G102" s="31"/>
      <c r="H102" s="29"/>
    </row>
    <row r="103" spans="1:8" x14ac:dyDescent="0.4">
      <c r="A103" s="29"/>
      <c r="B103" s="29"/>
      <c r="C103" s="29"/>
      <c r="D103" s="29"/>
      <c r="E103" s="30"/>
      <c r="F103" s="29"/>
      <c r="G103" s="31"/>
      <c r="H103" s="29"/>
    </row>
    <row r="104" spans="1:8" x14ac:dyDescent="0.4">
      <c r="A104" s="29"/>
      <c r="B104" s="29"/>
      <c r="C104" s="29"/>
      <c r="D104" s="29"/>
      <c r="E104" s="30"/>
      <c r="F104" s="29"/>
      <c r="G104" s="31"/>
      <c r="H104" s="29"/>
    </row>
    <row r="105" spans="1:8" x14ac:dyDescent="0.4">
      <c r="A105" s="29"/>
      <c r="B105" s="29"/>
      <c r="C105" s="29"/>
      <c r="D105" s="29"/>
      <c r="E105" s="30"/>
      <c r="F105" s="29"/>
      <c r="G105" s="31"/>
      <c r="H105" s="29"/>
    </row>
    <row r="106" spans="1:8" x14ac:dyDescent="0.4">
      <c r="A106" s="29"/>
      <c r="B106" s="29"/>
      <c r="C106" s="29"/>
      <c r="D106" s="29"/>
      <c r="E106" s="30"/>
      <c r="F106" s="29"/>
      <c r="G106" s="31"/>
      <c r="H106" s="29"/>
    </row>
    <row r="107" spans="1:8" x14ac:dyDescent="0.4">
      <c r="A107" s="29"/>
      <c r="B107" s="29"/>
      <c r="C107" s="29"/>
      <c r="D107" s="29"/>
      <c r="E107" s="30"/>
      <c r="F107" s="29"/>
      <c r="G107" s="31"/>
      <c r="H107" s="29"/>
    </row>
    <row r="108" spans="1:8" x14ac:dyDescent="0.4">
      <c r="A108" s="29"/>
      <c r="B108" s="29"/>
      <c r="C108" s="29"/>
      <c r="D108" s="29"/>
      <c r="E108" s="30"/>
      <c r="F108" s="29"/>
      <c r="G108" s="31"/>
      <c r="H108" s="29"/>
    </row>
    <row r="109" spans="1:8" x14ac:dyDescent="0.4">
      <c r="A109" s="29"/>
      <c r="B109" s="29"/>
      <c r="C109" s="29"/>
      <c r="D109" s="29"/>
      <c r="E109" s="30"/>
      <c r="F109" s="29"/>
      <c r="G109" s="31"/>
      <c r="H109" s="29"/>
    </row>
    <row r="110" spans="1:8" x14ac:dyDescent="0.4">
      <c r="A110" s="29"/>
      <c r="B110" s="29"/>
      <c r="C110" s="29"/>
      <c r="D110" s="29"/>
      <c r="E110" s="30"/>
      <c r="F110" s="29"/>
      <c r="G110" s="31"/>
      <c r="H110" s="29"/>
    </row>
    <row r="111" spans="1:8" x14ac:dyDescent="0.4">
      <c r="A111" s="29"/>
      <c r="B111" s="29"/>
      <c r="C111" s="29"/>
      <c r="D111" s="29"/>
      <c r="E111" s="30"/>
      <c r="F111" s="29"/>
      <c r="G111" s="31"/>
      <c r="H111" s="29"/>
    </row>
    <row r="112" spans="1:8" x14ac:dyDescent="0.4">
      <c r="A112" s="29"/>
      <c r="B112" s="29"/>
      <c r="C112" s="29"/>
      <c r="D112" s="29"/>
      <c r="E112" s="30"/>
      <c r="F112" s="29"/>
      <c r="G112" s="31"/>
      <c r="H112" s="29"/>
    </row>
    <row r="113" spans="1:8" x14ac:dyDescent="0.4">
      <c r="A113" s="29"/>
      <c r="B113" s="29"/>
      <c r="C113" s="29"/>
      <c r="D113" s="29"/>
      <c r="E113" s="30"/>
      <c r="F113" s="29"/>
      <c r="G113" s="31"/>
      <c r="H113" s="29"/>
    </row>
    <row r="114" spans="1:8" x14ac:dyDescent="0.4">
      <c r="A114" s="29"/>
      <c r="B114" s="29"/>
      <c r="C114" s="29"/>
      <c r="D114" s="29"/>
      <c r="E114" s="30"/>
      <c r="F114" s="29"/>
      <c r="G114" s="31"/>
      <c r="H114" s="29"/>
    </row>
    <row r="115" spans="1:8" x14ac:dyDescent="0.4">
      <c r="A115" s="29"/>
      <c r="B115" s="29"/>
      <c r="C115" s="29"/>
      <c r="D115" s="29"/>
      <c r="E115" s="30"/>
      <c r="F115" s="29"/>
      <c r="G115" s="31"/>
      <c r="H115" s="29"/>
    </row>
    <row r="116" spans="1:8" x14ac:dyDescent="0.4">
      <c r="A116" s="29"/>
      <c r="B116" s="29"/>
      <c r="C116" s="29"/>
      <c r="D116" s="29"/>
      <c r="E116" s="30"/>
      <c r="F116" s="29"/>
      <c r="G116" s="31"/>
      <c r="H116" s="29"/>
    </row>
    <row r="117" spans="1:8" x14ac:dyDescent="0.4">
      <c r="A117" s="29"/>
      <c r="B117" s="29"/>
      <c r="C117" s="29"/>
      <c r="D117" s="29"/>
      <c r="E117" s="30"/>
      <c r="F117" s="29"/>
      <c r="G117" s="31"/>
      <c r="H117" s="29"/>
    </row>
    <row r="118" spans="1:8" x14ac:dyDescent="0.4">
      <c r="A118" s="29"/>
      <c r="B118" s="29"/>
      <c r="C118" s="29"/>
      <c r="D118" s="29"/>
      <c r="E118" s="30"/>
      <c r="F118" s="29"/>
      <c r="G118" s="31"/>
      <c r="H118" s="29"/>
    </row>
    <row r="119" spans="1:8" x14ac:dyDescent="0.4">
      <c r="A119" s="29"/>
      <c r="B119" s="29"/>
      <c r="C119" s="29"/>
      <c r="D119" s="29"/>
      <c r="E119" s="30"/>
      <c r="F119" s="29"/>
      <c r="G119" s="31"/>
      <c r="H119" s="29"/>
    </row>
    <row r="120" spans="1:8" x14ac:dyDescent="0.4">
      <c r="A120" s="29"/>
      <c r="B120" s="29"/>
      <c r="C120" s="29"/>
      <c r="D120" s="29"/>
      <c r="E120" s="30"/>
      <c r="F120" s="29"/>
      <c r="G120" s="31"/>
      <c r="H120" s="29"/>
    </row>
    <row r="121" spans="1:8" x14ac:dyDescent="0.4">
      <c r="A121" s="29"/>
      <c r="B121" s="29"/>
      <c r="C121" s="29"/>
      <c r="D121" s="29"/>
      <c r="E121" s="30"/>
      <c r="F121" s="29"/>
      <c r="G121" s="31"/>
      <c r="H121" s="29"/>
    </row>
    <row r="122" spans="1:8" x14ac:dyDescent="0.4">
      <c r="A122" s="29"/>
      <c r="B122" s="29"/>
      <c r="C122" s="29"/>
      <c r="D122" s="29"/>
      <c r="E122" s="30"/>
      <c r="F122" s="29"/>
      <c r="G122" s="31"/>
      <c r="H122" s="29"/>
    </row>
    <row r="123" spans="1:8" x14ac:dyDescent="0.4">
      <c r="A123" s="29"/>
      <c r="B123" s="29"/>
      <c r="C123" s="29"/>
      <c r="D123" s="29"/>
      <c r="E123" s="30"/>
      <c r="F123" s="29"/>
      <c r="G123" s="31"/>
      <c r="H123" s="29"/>
    </row>
    <row r="124" spans="1:8" x14ac:dyDescent="0.4">
      <c r="A124" s="29"/>
      <c r="B124" s="29"/>
      <c r="C124" s="29"/>
      <c r="D124" s="29"/>
      <c r="E124" s="30"/>
      <c r="F124" s="29"/>
      <c r="G124" s="31"/>
      <c r="H124" s="29"/>
    </row>
    <row r="125" spans="1:8" x14ac:dyDescent="0.4">
      <c r="A125" s="29"/>
      <c r="B125" s="29"/>
      <c r="C125" s="29"/>
      <c r="D125" s="29"/>
      <c r="E125" s="30"/>
      <c r="F125" s="29"/>
      <c r="G125" s="31"/>
      <c r="H125" s="29"/>
    </row>
    <row r="126" spans="1:8" x14ac:dyDescent="0.4">
      <c r="A126" s="29"/>
      <c r="B126" s="29"/>
      <c r="C126" s="29"/>
      <c r="D126" s="29"/>
      <c r="E126" s="30"/>
      <c r="F126" s="29"/>
      <c r="G126" s="31"/>
      <c r="H126" s="29"/>
    </row>
    <row r="127" spans="1:8" x14ac:dyDescent="0.4">
      <c r="A127" s="29"/>
      <c r="B127" s="29"/>
      <c r="C127" s="29"/>
      <c r="D127" s="29"/>
      <c r="E127" s="30"/>
      <c r="F127" s="29"/>
      <c r="G127" s="31"/>
      <c r="H127" s="29"/>
    </row>
    <row r="128" spans="1:8" x14ac:dyDescent="0.4">
      <c r="A128" s="29"/>
      <c r="B128" s="29"/>
      <c r="C128" s="29"/>
      <c r="D128" s="29"/>
      <c r="E128" s="30"/>
      <c r="F128" s="29"/>
      <c r="G128" s="31"/>
      <c r="H128" s="29"/>
    </row>
    <row r="129" spans="1:8" x14ac:dyDescent="0.4">
      <c r="A129" s="29"/>
      <c r="B129" s="29"/>
      <c r="C129" s="29"/>
      <c r="D129" s="29"/>
      <c r="E129" s="30"/>
      <c r="F129" s="29"/>
      <c r="G129" s="31"/>
      <c r="H129" s="29"/>
    </row>
    <row r="130" spans="1:8" x14ac:dyDescent="0.4">
      <c r="A130" s="29"/>
      <c r="B130" s="29"/>
      <c r="C130" s="29"/>
      <c r="D130" s="29"/>
      <c r="E130" s="30"/>
      <c r="F130" s="29"/>
      <c r="G130" s="31"/>
      <c r="H130" s="29"/>
    </row>
    <row r="131" spans="1:8" x14ac:dyDescent="0.4">
      <c r="A131" s="29"/>
      <c r="B131" s="29"/>
      <c r="C131" s="29"/>
      <c r="D131" s="29"/>
      <c r="E131" s="30"/>
      <c r="F131" s="29"/>
      <c r="G131" s="31"/>
      <c r="H131" s="29"/>
    </row>
    <row r="132" spans="1:8" x14ac:dyDescent="0.4">
      <c r="A132" s="29"/>
      <c r="B132" s="29"/>
      <c r="C132" s="29"/>
      <c r="D132" s="29"/>
      <c r="E132" s="30"/>
      <c r="F132" s="29"/>
      <c r="G132" s="31"/>
      <c r="H132" s="29"/>
    </row>
    <row r="133" spans="1:8" x14ac:dyDescent="0.4">
      <c r="A133" s="29"/>
      <c r="B133" s="29"/>
      <c r="C133" s="29"/>
      <c r="D133" s="29"/>
      <c r="E133" s="30"/>
      <c r="F133" s="29"/>
      <c r="G133" s="31"/>
      <c r="H133" s="29"/>
    </row>
    <row r="134" spans="1:8" x14ac:dyDescent="0.4">
      <c r="A134" s="29"/>
      <c r="B134" s="29"/>
      <c r="C134" s="29"/>
      <c r="D134" s="29"/>
      <c r="E134" s="30"/>
      <c r="F134" s="29"/>
      <c r="G134" s="31"/>
      <c r="H134" s="29"/>
    </row>
    <row r="135" spans="1:8" x14ac:dyDescent="0.4">
      <c r="A135" s="29"/>
      <c r="B135" s="29"/>
      <c r="C135" s="29"/>
      <c r="D135" s="29"/>
      <c r="E135" s="30"/>
      <c r="F135" s="29"/>
      <c r="G135" s="31"/>
      <c r="H135" s="29"/>
    </row>
    <row r="136" spans="1:8" x14ac:dyDescent="0.4">
      <c r="A136" s="29"/>
      <c r="B136" s="29"/>
      <c r="C136" s="29"/>
      <c r="D136" s="29"/>
      <c r="E136" s="30"/>
      <c r="F136" s="29"/>
      <c r="G136" s="31"/>
      <c r="H136" s="29"/>
    </row>
    <row r="137" spans="1:8" x14ac:dyDescent="0.4">
      <c r="A137" s="29"/>
      <c r="B137" s="29"/>
      <c r="C137" s="29"/>
      <c r="D137" s="29"/>
      <c r="E137" s="30"/>
      <c r="F137" s="29"/>
      <c r="G137" s="31"/>
      <c r="H137" s="29"/>
    </row>
    <row r="138" spans="1:8" x14ac:dyDescent="0.4">
      <c r="A138" s="29"/>
      <c r="B138" s="29"/>
      <c r="C138" s="29"/>
      <c r="D138" s="29"/>
      <c r="E138" s="30"/>
      <c r="F138" s="29"/>
      <c r="G138" s="31"/>
      <c r="H138" s="29"/>
    </row>
    <row r="139" spans="1:8" x14ac:dyDescent="0.4">
      <c r="A139" s="29"/>
      <c r="B139" s="29"/>
      <c r="C139" s="29"/>
      <c r="D139" s="29"/>
      <c r="E139" s="30"/>
      <c r="F139" s="29"/>
      <c r="G139" s="31"/>
      <c r="H139" s="29"/>
    </row>
    <row r="140" spans="1:8" x14ac:dyDescent="0.4">
      <c r="A140" s="29"/>
      <c r="B140" s="29"/>
      <c r="C140" s="29"/>
      <c r="D140" s="29"/>
      <c r="E140" s="30"/>
      <c r="F140" s="29"/>
      <c r="G140" s="31"/>
      <c r="H140" s="29"/>
    </row>
    <row r="141" spans="1:8" x14ac:dyDescent="0.4">
      <c r="A141" s="29"/>
      <c r="B141" s="29"/>
      <c r="C141" s="29"/>
      <c r="D141" s="29"/>
      <c r="E141" s="30"/>
      <c r="F141" s="29"/>
      <c r="G141" s="31"/>
      <c r="H141" s="29"/>
    </row>
    <row r="142" spans="1:8" x14ac:dyDescent="0.4">
      <c r="A142" s="29"/>
      <c r="B142" s="29"/>
      <c r="C142" s="29"/>
      <c r="D142" s="29"/>
      <c r="E142" s="30"/>
      <c r="F142" s="29"/>
      <c r="G142" s="31"/>
      <c r="H142" s="29"/>
    </row>
    <row r="143" spans="1:8" x14ac:dyDescent="0.4">
      <c r="A143" s="29"/>
      <c r="B143" s="29"/>
      <c r="C143" s="29"/>
      <c r="D143" s="29"/>
      <c r="E143" s="30"/>
      <c r="F143" s="29"/>
      <c r="G143" s="31"/>
      <c r="H143" s="29"/>
    </row>
    <row r="144" spans="1:8" x14ac:dyDescent="0.4">
      <c r="A144" s="29"/>
      <c r="B144" s="29"/>
      <c r="C144" s="29"/>
      <c r="D144" s="29"/>
      <c r="E144" s="30"/>
      <c r="F144" s="29"/>
      <c r="G144" s="31"/>
      <c r="H144" s="29"/>
    </row>
    <row r="145" spans="1:8" x14ac:dyDescent="0.4">
      <c r="A145" s="29"/>
      <c r="B145" s="29"/>
      <c r="C145" s="29"/>
      <c r="D145" s="29"/>
      <c r="E145" s="30"/>
      <c r="F145" s="29"/>
      <c r="G145" s="31"/>
      <c r="H145" s="29"/>
    </row>
    <row r="146" spans="1:8" x14ac:dyDescent="0.4">
      <c r="A146" s="29"/>
      <c r="B146" s="29"/>
      <c r="C146" s="29"/>
      <c r="D146" s="29"/>
      <c r="E146" s="30"/>
      <c r="F146" s="29"/>
      <c r="G146" s="31"/>
      <c r="H146" s="29"/>
    </row>
    <row r="147" spans="1:8" x14ac:dyDescent="0.4">
      <c r="A147" s="29"/>
      <c r="B147" s="29"/>
      <c r="C147" s="29"/>
      <c r="D147" s="29"/>
      <c r="E147" s="30"/>
      <c r="F147" s="29"/>
      <c r="G147" s="31"/>
      <c r="H147" s="29"/>
    </row>
    <row r="148" spans="1:8" x14ac:dyDescent="0.4">
      <c r="A148" s="29"/>
      <c r="B148" s="29"/>
      <c r="C148" s="29"/>
      <c r="D148" s="29"/>
      <c r="E148" s="30"/>
      <c r="F148" s="29"/>
      <c r="G148" s="31"/>
      <c r="H148" s="29"/>
    </row>
    <row r="149" spans="1:8" x14ac:dyDescent="0.4">
      <c r="A149" s="29"/>
      <c r="B149" s="29"/>
      <c r="C149" s="29"/>
      <c r="D149" s="29"/>
      <c r="E149" s="30"/>
      <c r="F149" s="29"/>
      <c r="G149" s="31"/>
      <c r="H149" s="29"/>
    </row>
    <row r="150" spans="1:8" x14ac:dyDescent="0.4">
      <c r="A150" s="29"/>
      <c r="B150" s="29"/>
      <c r="C150" s="29"/>
      <c r="D150" s="29"/>
      <c r="E150" s="30"/>
      <c r="F150" s="29"/>
      <c r="G150" s="31"/>
      <c r="H150" s="29"/>
    </row>
    <row r="151" spans="1:8" x14ac:dyDescent="0.4">
      <c r="A151" s="29"/>
      <c r="B151" s="29"/>
      <c r="C151" s="29"/>
      <c r="D151" s="29"/>
      <c r="E151" s="30"/>
      <c r="F151" s="29"/>
      <c r="G151" s="31"/>
      <c r="H151" s="29"/>
    </row>
    <row r="152" spans="1:8" x14ac:dyDescent="0.4">
      <c r="A152" s="29"/>
      <c r="B152" s="29"/>
      <c r="C152" s="29"/>
      <c r="D152" s="29"/>
      <c r="E152" s="30"/>
      <c r="F152" s="29"/>
      <c r="G152" s="31"/>
      <c r="H152" s="29"/>
    </row>
    <row r="153" spans="1:8" x14ac:dyDescent="0.4">
      <c r="A153" s="29"/>
      <c r="B153" s="29"/>
      <c r="C153" s="29"/>
      <c r="D153" s="29"/>
      <c r="E153" s="30"/>
      <c r="F153" s="29"/>
      <c r="G153" s="31"/>
      <c r="H153" s="29"/>
    </row>
    <row r="154" spans="1:8" x14ac:dyDescent="0.4">
      <c r="A154" s="29"/>
      <c r="B154" s="29"/>
      <c r="C154" s="29"/>
      <c r="D154" s="29"/>
      <c r="E154" s="30"/>
      <c r="F154" s="29"/>
      <c r="G154" s="31"/>
      <c r="H154" s="29"/>
    </row>
    <row r="155" spans="1:8" x14ac:dyDescent="0.4">
      <c r="A155" s="29"/>
      <c r="B155" s="29"/>
      <c r="C155" s="29"/>
      <c r="D155" s="29"/>
      <c r="E155" s="30"/>
      <c r="F155" s="29"/>
      <c r="G155" s="31"/>
      <c r="H155" s="29"/>
    </row>
    <row r="156" spans="1:8" x14ac:dyDescent="0.4">
      <c r="A156" s="29"/>
      <c r="B156" s="29"/>
      <c r="C156" s="29"/>
      <c r="D156" s="29"/>
      <c r="E156" s="30"/>
      <c r="F156" s="29"/>
      <c r="G156" s="31"/>
      <c r="H156" s="29"/>
    </row>
    <row r="157" spans="1:8" x14ac:dyDescent="0.4">
      <c r="A157" s="29"/>
      <c r="B157" s="29"/>
      <c r="C157" s="29"/>
      <c r="D157" s="29"/>
      <c r="E157" s="30"/>
      <c r="F157" s="29"/>
      <c r="G157" s="31"/>
      <c r="H157" s="29"/>
    </row>
    <row r="158" spans="1:8" x14ac:dyDescent="0.4">
      <c r="A158" s="29"/>
      <c r="B158" s="29"/>
      <c r="C158" s="29"/>
      <c r="D158" s="29"/>
      <c r="E158" s="30"/>
      <c r="F158" s="29"/>
      <c r="G158" s="31"/>
      <c r="H158" s="29"/>
    </row>
    <row r="159" spans="1:8" x14ac:dyDescent="0.4">
      <c r="A159" s="29"/>
      <c r="B159" s="29"/>
      <c r="C159" s="29"/>
      <c r="D159" s="29"/>
      <c r="E159" s="30"/>
      <c r="F159" s="29"/>
      <c r="G159" s="31"/>
      <c r="H159" s="29"/>
    </row>
    <row r="160" spans="1:8" x14ac:dyDescent="0.4">
      <c r="A160" s="29"/>
      <c r="B160" s="29"/>
      <c r="C160" s="29"/>
      <c r="D160" s="29"/>
      <c r="E160" s="30"/>
      <c r="F160" s="29"/>
      <c r="G160" s="31"/>
      <c r="H160" s="29"/>
    </row>
    <row r="161" spans="1:8" x14ac:dyDescent="0.4">
      <c r="A161" s="29"/>
      <c r="B161" s="29"/>
      <c r="C161" s="29"/>
      <c r="D161" s="29"/>
      <c r="E161" s="30"/>
      <c r="F161" s="29"/>
      <c r="G161" s="31"/>
      <c r="H161" s="29"/>
    </row>
    <row r="162" spans="1:8" x14ac:dyDescent="0.4">
      <c r="A162" s="29"/>
      <c r="B162" s="29"/>
      <c r="C162" s="29"/>
      <c r="D162" s="29"/>
      <c r="E162" s="30"/>
      <c r="F162" s="29"/>
      <c r="G162" s="31"/>
      <c r="H162" s="29"/>
    </row>
    <row r="163" spans="1:8" x14ac:dyDescent="0.4">
      <c r="A163" s="29"/>
      <c r="B163" s="29"/>
      <c r="C163" s="29"/>
      <c r="D163" s="29"/>
      <c r="E163" s="30"/>
      <c r="F163" s="29"/>
      <c r="G163" s="31"/>
      <c r="H163" s="29"/>
    </row>
    <row r="164" spans="1:8" x14ac:dyDescent="0.4">
      <c r="A164" s="29"/>
      <c r="B164" s="29"/>
      <c r="C164" s="29"/>
      <c r="D164" s="29"/>
      <c r="E164" s="30"/>
      <c r="F164" s="29"/>
      <c r="G164" s="31"/>
      <c r="H164" s="29"/>
    </row>
    <row r="165" spans="1:8" x14ac:dyDescent="0.4">
      <c r="A165" s="29"/>
      <c r="B165" s="29"/>
      <c r="C165" s="29"/>
      <c r="D165" s="29"/>
      <c r="E165" s="30"/>
      <c r="F165" s="29"/>
      <c r="G165" s="31"/>
      <c r="H165" s="29"/>
    </row>
    <row r="166" spans="1:8" x14ac:dyDescent="0.4">
      <c r="A166" s="29"/>
      <c r="B166" s="29"/>
      <c r="C166" s="29"/>
      <c r="D166" s="29"/>
      <c r="E166" s="30"/>
      <c r="F166" s="29"/>
      <c r="G166" s="31"/>
      <c r="H166" s="29"/>
    </row>
    <row r="167" spans="1:8" x14ac:dyDescent="0.4">
      <c r="A167" s="29"/>
      <c r="B167" s="29"/>
      <c r="C167" s="29"/>
      <c r="D167" s="29"/>
      <c r="E167" s="30"/>
      <c r="F167" s="29"/>
      <c r="G167" s="31"/>
      <c r="H167" s="29"/>
    </row>
    <row r="168" spans="1:8" x14ac:dyDescent="0.4">
      <c r="A168" s="29"/>
      <c r="B168" s="29"/>
      <c r="C168" s="29"/>
      <c r="D168" s="29"/>
      <c r="E168" s="30"/>
      <c r="F168" s="29"/>
      <c r="G168" s="31"/>
      <c r="H168" s="29"/>
    </row>
    <row r="169" spans="1:8" x14ac:dyDescent="0.4">
      <c r="A169" s="29"/>
      <c r="B169" s="29"/>
      <c r="C169" s="29"/>
      <c r="D169" s="29"/>
      <c r="E169" s="30"/>
      <c r="F169" s="29"/>
      <c r="G169" s="31"/>
      <c r="H169" s="29"/>
    </row>
    <row r="170" spans="1:8" x14ac:dyDescent="0.4">
      <c r="A170" s="29"/>
      <c r="B170" s="29"/>
      <c r="C170" s="29"/>
      <c r="D170" s="29"/>
      <c r="E170" s="30"/>
      <c r="F170" s="29"/>
      <c r="G170" s="31"/>
      <c r="H170" s="29"/>
    </row>
    <row r="171" spans="1:8" x14ac:dyDescent="0.4">
      <c r="A171" s="29"/>
      <c r="B171" s="29"/>
      <c r="C171" s="29"/>
      <c r="D171" s="29"/>
      <c r="E171" s="30"/>
      <c r="F171" s="29"/>
      <c r="G171" s="31"/>
      <c r="H171" s="29"/>
    </row>
    <row r="172" spans="1:8" x14ac:dyDescent="0.4">
      <c r="A172" s="29"/>
      <c r="B172" s="29"/>
      <c r="C172" s="29"/>
      <c r="D172" s="29"/>
      <c r="E172" s="30"/>
      <c r="F172" s="29"/>
      <c r="G172" s="31"/>
      <c r="H172" s="29"/>
    </row>
    <row r="173" spans="1:8" x14ac:dyDescent="0.4">
      <c r="A173" s="29"/>
      <c r="B173" s="29"/>
      <c r="C173" s="29"/>
      <c r="D173" s="29"/>
      <c r="E173" s="30"/>
      <c r="F173" s="29"/>
      <c r="G173" s="31"/>
      <c r="H173" s="29"/>
    </row>
    <row r="174" spans="1:8" x14ac:dyDescent="0.4">
      <c r="A174" s="29"/>
      <c r="B174" s="29"/>
      <c r="C174" s="29"/>
      <c r="D174" s="29"/>
      <c r="E174" s="30"/>
      <c r="F174" s="29"/>
      <c r="G174" s="31"/>
      <c r="H174" s="29"/>
    </row>
    <row r="175" spans="1:8" x14ac:dyDescent="0.4">
      <c r="A175" s="29"/>
      <c r="B175" s="29"/>
      <c r="C175" s="29"/>
      <c r="D175" s="29"/>
      <c r="E175" s="30"/>
      <c r="F175" s="29"/>
      <c r="G175" s="31"/>
      <c r="H175" s="29"/>
    </row>
    <row r="176" spans="1:8" x14ac:dyDescent="0.4">
      <c r="A176" s="29"/>
      <c r="B176" s="29"/>
      <c r="C176" s="29"/>
      <c r="D176" s="29"/>
      <c r="E176" s="30"/>
      <c r="F176" s="29"/>
      <c r="G176" s="31"/>
      <c r="H176" s="29"/>
    </row>
    <row r="177" spans="1:8" x14ac:dyDescent="0.4">
      <c r="A177" s="29"/>
      <c r="B177" s="29"/>
      <c r="C177" s="29"/>
      <c r="D177" s="29"/>
      <c r="E177" s="30"/>
      <c r="F177" s="29"/>
      <c r="G177" s="31"/>
      <c r="H177" s="29"/>
    </row>
    <row r="178" spans="1:8" x14ac:dyDescent="0.4">
      <c r="A178" s="29"/>
      <c r="B178" s="29"/>
      <c r="C178" s="29"/>
      <c r="D178" s="29"/>
      <c r="E178" s="30"/>
      <c r="F178" s="29"/>
      <c r="G178" s="31"/>
      <c r="H178" s="29"/>
    </row>
    <row r="179" spans="1:8" x14ac:dyDescent="0.4">
      <c r="A179" s="29"/>
      <c r="B179" s="29"/>
      <c r="C179" s="29"/>
      <c r="D179" s="29"/>
      <c r="E179" s="30"/>
      <c r="F179" s="29"/>
      <c r="G179" s="31"/>
      <c r="H179" s="29"/>
    </row>
    <row r="180" spans="1:8" x14ac:dyDescent="0.4">
      <c r="A180" s="29"/>
      <c r="B180" s="29"/>
      <c r="C180" s="29"/>
      <c r="D180" s="29"/>
      <c r="E180" s="30"/>
      <c r="F180" s="29"/>
      <c r="G180" s="31"/>
      <c r="H180" s="29"/>
    </row>
    <row r="181" spans="1:8" x14ac:dyDescent="0.4">
      <c r="A181" s="29"/>
      <c r="B181" s="29"/>
      <c r="C181" s="29"/>
      <c r="D181" s="29"/>
      <c r="E181" s="30"/>
      <c r="F181" s="29"/>
      <c r="G181" s="31"/>
      <c r="H181" s="29"/>
    </row>
    <row r="182" spans="1:8" x14ac:dyDescent="0.4">
      <c r="A182" s="29"/>
      <c r="B182" s="29"/>
      <c r="C182" s="29"/>
      <c r="D182" s="29"/>
      <c r="E182" s="30"/>
      <c r="F182" s="29"/>
      <c r="G182" s="31"/>
      <c r="H182" s="29"/>
    </row>
    <row r="183" spans="1:8" x14ac:dyDescent="0.4">
      <c r="A183" s="29"/>
      <c r="B183" s="29"/>
      <c r="C183" s="29"/>
      <c r="D183" s="29"/>
      <c r="E183" s="30"/>
      <c r="F183" s="29"/>
      <c r="G183" s="31"/>
      <c r="H183" s="29"/>
    </row>
    <row r="184" spans="1:8" x14ac:dyDescent="0.4">
      <c r="A184" s="29"/>
      <c r="B184" s="29"/>
      <c r="C184" s="29"/>
      <c r="D184" s="29"/>
      <c r="E184" s="30"/>
      <c r="F184" s="29"/>
      <c r="G184" s="31"/>
      <c r="H184" s="29"/>
    </row>
    <row r="185" spans="1:8" x14ac:dyDescent="0.4">
      <c r="A185" s="29"/>
      <c r="B185" s="29"/>
      <c r="C185" s="29"/>
      <c r="D185" s="29"/>
      <c r="E185" s="30"/>
      <c r="F185" s="29"/>
      <c r="G185" s="31"/>
      <c r="H185" s="29"/>
    </row>
    <row r="186" spans="1:8" x14ac:dyDescent="0.4">
      <c r="A186" s="29"/>
      <c r="B186" s="29"/>
      <c r="C186" s="29"/>
      <c r="D186" s="29"/>
      <c r="E186" s="30"/>
      <c r="F186" s="29"/>
      <c r="G186" s="31"/>
      <c r="H186" s="29"/>
    </row>
    <row r="187" spans="1:8" x14ac:dyDescent="0.4">
      <c r="A187" s="29"/>
      <c r="B187" s="29"/>
      <c r="C187" s="29"/>
      <c r="D187" s="29"/>
      <c r="E187" s="30"/>
      <c r="F187" s="29"/>
      <c r="G187" s="31"/>
      <c r="H187" s="29"/>
    </row>
    <row r="188" spans="1:8" x14ac:dyDescent="0.4">
      <c r="A188" s="29"/>
      <c r="B188" s="29"/>
      <c r="C188" s="29"/>
      <c r="D188" s="29"/>
      <c r="E188" s="30"/>
      <c r="F188" s="29"/>
      <c r="G188" s="31"/>
      <c r="H188" s="29"/>
    </row>
    <row r="189" spans="1:8" x14ac:dyDescent="0.4">
      <c r="A189" s="29"/>
      <c r="B189" s="29"/>
      <c r="C189" s="29"/>
      <c r="D189" s="29"/>
      <c r="E189" s="30"/>
      <c r="F189" s="29"/>
      <c r="G189" s="31"/>
      <c r="H189" s="29"/>
    </row>
    <row r="190" spans="1:8" x14ac:dyDescent="0.4">
      <c r="A190" s="29"/>
      <c r="B190" s="29"/>
      <c r="C190" s="29"/>
      <c r="D190" s="29"/>
      <c r="E190" s="30"/>
      <c r="F190" s="29"/>
      <c r="G190" s="31"/>
      <c r="H190" s="29"/>
    </row>
    <row r="191" spans="1:8" x14ac:dyDescent="0.4">
      <c r="A191" s="29"/>
      <c r="B191" s="29"/>
      <c r="C191" s="29"/>
      <c r="D191" s="29"/>
      <c r="E191" s="30"/>
      <c r="F191" s="29"/>
      <c r="G191" s="31"/>
      <c r="H191" s="29"/>
    </row>
    <row r="192" spans="1:8" x14ac:dyDescent="0.4">
      <c r="A192" s="29"/>
      <c r="B192" s="29"/>
      <c r="C192" s="29"/>
      <c r="D192" s="29"/>
      <c r="E192" s="30"/>
      <c r="F192" s="29"/>
      <c r="G192" s="31"/>
      <c r="H192" s="29"/>
    </row>
    <row r="193" spans="1:8" x14ac:dyDescent="0.4">
      <c r="A193" s="29"/>
      <c r="B193" s="29"/>
      <c r="C193" s="29"/>
      <c r="D193" s="29"/>
      <c r="E193" s="30"/>
      <c r="F193" s="29"/>
      <c r="G193" s="31"/>
      <c r="H193" s="29"/>
    </row>
    <row r="194" spans="1:8" x14ac:dyDescent="0.4">
      <c r="A194" s="29"/>
      <c r="B194" s="29"/>
      <c r="C194" s="29"/>
      <c r="D194" s="29"/>
      <c r="E194" s="30"/>
      <c r="F194" s="29"/>
      <c r="G194" s="31"/>
      <c r="H194" s="29"/>
    </row>
    <row r="195" spans="1:8" x14ac:dyDescent="0.4">
      <c r="A195" s="29"/>
      <c r="B195" s="29"/>
      <c r="C195" s="29"/>
      <c r="D195" s="29"/>
      <c r="E195" s="30"/>
      <c r="F195" s="29"/>
      <c r="G195" s="31"/>
      <c r="H195" s="29"/>
    </row>
    <row r="196" spans="1:8" x14ac:dyDescent="0.4">
      <c r="A196" s="29"/>
      <c r="B196" s="29"/>
      <c r="C196" s="29"/>
      <c r="D196" s="29"/>
      <c r="E196" s="30"/>
      <c r="F196" s="29"/>
      <c r="G196" s="31"/>
      <c r="H196" s="29"/>
    </row>
    <row r="197" spans="1:8" x14ac:dyDescent="0.4">
      <c r="A197" s="29"/>
      <c r="B197" s="29"/>
      <c r="C197" s="29"/>
      <c r="D197" s="29"/>
      <c r="E197" s="30"/>
      <c r="F197" s="29"/>
      <c r="G197" s="31"/>
      <c r="H197" s="29"/>
    </row>
    <row r="198" spans="1:8" x14ac:dyDescent="0.4">
      <c r="A198" s="29"/>
      <c r="B198" s="29"/>
      <c r="C198" s="29"/>
      <c r="D198" s="29"/>
      <c r="E198" s="30"/>
      <c r="F198" s="29"/>
      <c r="G198" s="31"/>
      <c r="H198" s="29"/>
    </row>
    <row r="199" spans="1:8" x14ac:dyDescent="0.4">
      <c r="A199" s="29"/>
      <c r="B199" s="29"/>
      <c r="C199" s="29"/>
      <c r="D199" s="29"/>
      <c r="E199" s="30"/>
      <c r="F199" s="29"/>
      <c r="G199" s="31"/>
      <c r="H199" s="29"/>
    </row>
    <row r="200" spans="1:8" x14ac:dyDescent="0.4">
      <c r="A200" s="29"/>
      <c r="B200" s="29"/>
      <c r="C200" s="29"/>
      <c r="D200" s="29"/>
      <c r="E200" s="30"/>
      <c r="F200" s="29"/>
      <c r="G200" s="31"/>
      <c r="H200" s="29"/>
    </row>
    <row r="201" spans="1:8" x14ac:dyDescent="0.4">
      <c r="A201" s="29"/>
      <c r="B201" s="29"/>
      <c r="C201" s="29"/>
      <c r="D201" s="29"/>
      <c r="E201" s="30"/>
      <c r="F201" s="29"/>
      <c r="G201" s="31"/>
      <c r="H201" s="29"/>
    </row>
    <row r="202" spans="1:8" x14ac:dyDescent="0.4">
      <c r="A202" s="29"/>
      <c r="B202" s="29"/>
      <c r="C202" s="29"/>
      <c r="D202" s="29"/>
      <c r="E202" s="30"/>
      <c r="F202" s="29"/>
      <c r="G202" s="31"/>
      <c r="H202" s="29"/>
    </row>
    <row r="203" spans="1:8" x14ac:dyDescent="0.4">
      <c r="A203" s="29"/>
      <c r="B203" s="29"/>
      <c r="C203" s="29"/>
      <c r="D203" s="29"/>
      <c r="E203" s="30"/>
      <c r="F203" s="29"/>
      <c r="G203" s="31"/>
      <c r="H203" s="29"/>
    </row>
    <row r="204" spans="1:8" x14ac:dyDescent="0.4">
      <c r="A204" s="29"/>
      <c r="B204" s="29"/>
      <c r="C204" s="29"/>
      <c r="D204" s="29"/>
      <c r="E204" s="30"/>
      <c r="F204" s="29"/>
      <c r="G204" s="31"/>
      <c r="H204" s="29"/>
    </row>
    <row r="205" spans="1:8" x14ac:dyDescent="0.4">
      <c r="A205" s="29"/>
      <c r="B205" s="29"/>
      <c r="C205" s="29"/>
      <c r="D205" s="29"/>
      <c r="E205" s="30"/>
      <c r="F205" s="29"/>
      <c r="G205" s="31"/>
      <c r="H205" s="29"/>
    </row>
    <row r="206" spans="1:8" x14ac:dyDescent="0.4">
      <c r="A206" s="29"/>
      <c r="B206" s="29"/>
      <c r="C206" s="29"/>
      <c r="D206" s="29"/>
      <c r="E206" s="30"/>
      <c r="F206" s="29"/>
      <c r="G206" s="31"/>
      <c r="H206" s="29"/>
    </row>
    <row r="207" spans="1:8" x14ac:dyDescent="0.4">
      <c r="A207" s="29"/>
      <c r="B207" s="29"/>
      <c r="C207" s="29"/>
      <c r="D207" s="29"/>
      <c r="E207" s="30"/>
      <c r="F207" s="29"/>
      <c r="G207" s="31"/>
      <c r="H207" s="29"/>
    </row>
    <row r="208" spans="1:8" x14ac:dyDescent="0.4">
      <c r="A208" s="29"/>
      <c r="B208" s="29"/>
      <c r="C208" s="29"/>
      <c r="D208" s="29"/>
      <c r="E208" s="30"/>
      <c r="F208" s="29"/>
      <c r="G208" s="31"/>
      <c r="H208" s="29"/>
    </row>
    <row r="209" spans="1:8" x14ac:dyDescent="0.4">
      <c r="A209" s="29"/>
      <c r="B209" s="29"/>
      <c r="C209" s="29"/>
      <c r="D209" s="29"/>
      <c r="E209" s="30"/>
      <c r="F209" s="29"/>
      <c r="G209" s="31"/>
      <c r="H209" s="29"/>
    </row>
    <row r="210" spans="1:8" x14ac:dyDescent="0.4">
      <c r="A210" s="29"/>
      <c r="B210" s="29"/>
      <c r="C210" s="29"/>
      <c r="D210" s="29"/>
      <c r="E210" s="30"/>
      <c r="F210" s="29"/>
      <c r="G210" s="31"/>
      <c r="H210" s="29"/>
    </row>
    <row r="211" spans="1:8" x14ac:dyDescent="0.4">
      <c r="A211" s="29"/>
      <c r="B211" s="29"/>
      <c r="C211" s="29"/>
      <c r="D211" s="29"/>
      <c r="E211" s="30"/>
      <c r="F211" s="29"/>
      <c r="G211" s="31"/>
      <c r="H211" s="29"/>
    </row>
    <row r="212" spans="1:8" x14ac:dyDescent="0.4">
      <c r="A212" s="29"/>
      <c r="B212" s="29"/>
      <c r="C212" s="29"/>
      <c r="D212" s="29"/>
      <c r="E212" s="30"/>
      <c r="F212" s="29"/>
      <c r="G212" s="31"/>
      <c r="H212" s="29"/>
    </row>
    <row r="213" spans="1:8" x14ac:dyDescent="0.4">
      <c r="A213" s="29"/>
      <c r="B213" s="29"/>
      <c r="C213" s="29"/>
      <c r="D213" s="29"/>
      <c r="E213" s="30"/>
      <c r="F213" s="29"/>
      <c r="G213" s="31"/>
      <c r="H213" s="29"/>
    </row>
    <row r="214" spans="1:8" x14ac:dyDescent="0.4">
      <c r="A214" s="29"/>
      <c r="B214" s="29"/>
      <c r="C214" s="29"/>
      <c r="D214" s="29"/>
      <c r="E214" s="30"/>
      <c r="F214" s="29"/>
      <c r="G214" s="31"/>
      <c r="H214" s="29"/>
    </row>
    <row r="215" spans="1:8" x14ac:dyDescent="0.4">
      <c r="A215" s="29"/>
      <c r="B215" s="29"/>
      <c r="C215" s="29"/>
      <c r="D215" s="29"/>
      <c r="E215" s="30"/>
      <c r="F215" s="29"/>
      <c r="G215" s="31"/>
      <c r="H215" s="29"/>
    </row>
    <row r="216" spans="1:8" x14ac:dyDescent="0.4">
      <c r="A216" s="29"/>
      <c r="B216" s="29"/>
      <c r="C216" s="29"/>
      <c r="D216" s="29"/>
      <c r="E216" s="30"/>
      <c r="F216" s="29"/>
      <c r="G216" s="31"/>
      <c r="H216" s="29"/>
    </row>
    <row r="217" spans="1:8" x14ac:dyDescent="0.4">
      <c r="A217" s="29"/>
      <c r="B217" s="29"/>
      <c r="C217" s="29"/>
      <c r="D217" s="29"/>
      <c r="E217" s="30"/>
      <c r="F217" s="29"/>
      <c r="G217" s="31"/>
      <c r="H217" s="29"/>
    </row>
    <row r="218" spans="1:8" x14ac:dyDescent="0.4">
      <c r="A218" s="29"/>
      <c r="B218" s="29"/>
      <c r="C218" s="29"/>
      <c r="D218" s="29"/>
      <c r="E218" s="30"/>
      <c r="F218" s="29"/>
      <c r="G218" s="31"/>
      <c r="H218" s="29"/>
    </row>
    <row r="219" spans="1:8" x14ac:dyDescent="0.4">
      <c r="A219" s="29"/>
      <c r="B219" s="29"/>
      <c r="C219" s="29"/>
      <c r="D219" s="29"/>
      <c r="E219" s="30"/>
      <c r="F219" s="29"/>
      <c r="G219" s="31"/>
      <c r="H219" s="29"/>
    </row>
    <row r="220" spans="1:8" x14ac:dyDescent="0.4">
      <c r="A220" s="29"/>
      <c r="B220" s="29"/>
      <c r="C220" s="29"/>
      <c r="D220" s="29"/>
      <c r="E220" s="30"/>
      <c r="F220" s="29"/>
      <c r="G220" s="31"/>
      <c r="H220" s="29"/>
    </row>
    <row r="221" spans="1:8" x14ac:dyDescent="0.4">
      <c r="A221" s="29"/>
      <c r="B221" s="29"/>
      <c r="C221" s="29"/>
      <c r="D221" s="29"/>
      <c r="E221" s="30"/>
      <c r="F221" s="29"/>
      <c r="G221" s="31"/>
      <c r="H221" s="29"/>
    </row>
    <row r="222" spans="1:8" x14ac:dyDescent="0.4">
      <c r="A222" s="29"/>
      <c r="B222" s="29"/>
      <c r="C222" s="29"/>
      <c r="D222" s="29"/>
      <c r="E222" s="30"/>
      <c r="F222" s="29"/>
      <c r="G222" s="31"/>
      <c r="H222" s="29"/>
    </row>
    <row r="223" spans="1:8" x14ac:dyDescent="0.4">
      <c r="A223" s="29"/>
      <c r="B223" s="29"/>
      <c r="C223" s="29"/>
      <c r="D223" s="29"/>
      <c r="E223" s="30"/>
      <c r="F223" s="29"/>
      <c r="G223" s="31"/>
      <c r="H223" s="29"/>
    </row>
    <row r="224" spans="1:8" x14ac:dyDescent="0.4">
      <c r="A224" s="29"/>
      <c r="B224" s="29"/>
      <c r="C224" s="29"/>
      <c r="D224" s="29"/>
      <c r="E224" s="30"/>
      <c r="F224" s="29"/>
      <c r="G224" s="31"/>
      <c r="H224" s="29"/>
    </row>
    <row r="225" spans="1:8" x14ac:dyDescent="0.4">
      <c r="A225" s="29"/>
      <c r="B225" s="29"/>
      <c r="C225" s="29"/>
      <c r="D225" s="29"/>
      <c r="E225" s="30"/>
      <c r="F225" s="29"/>
      <c r="G225" s="31"/>
      <c r="H225" s="29"/>
    </row>
    <row r="226" spans="1:8" x14ac:dyDescent="0.4">
      <c r="A226" s="29"/>
      <c r="B226" s="29"/>
      <c r="C226" s="29"/>
      <c r="D226" s="29"/>
      <c r="E226" s="30"/>
      <c r="F226" s="29"/>
      <c r="G226" s="31"/>
      <c r="H226" s="29"/>
    </row>
    <row r="227" spans="1:8" x14ac:dyDescent="0.4">
      <c r="A227" s="29"/>
      <c r="B227" s="29"/>
      <c r="C227" s="29"/>
      <c r="D227" s="29"/>
      <c r="E227" s="30"/>
      <c r="F227" s="29"/>
      <c r="G227" s="31"/>
      <c r="H227" s="29"/>
    </row>
    <row r="228" spans="1:8" x14ac:dyDescent="0.4">
      <c r="A228" s="29"/>
      <c r="B228" s="29"/>
      <c r="C228" s="29"/>
      <c r="D228" s="29"/>
      <c r="E228" s="30"/>
      <c r="F228" s="29"/>
      <c r="G228" s="31"/>
      <c r="H228" s="29"/>
    </row>
    <row r="229" spans="1:8" x14ac:dyDescent="0.4">
      <c r="A229" s="29"/>
      <c r="B229" s="29"/>
      <c r="C229" s="29"/>
      <c r="D229" s="29"/>
      <c r="E229" s="30"/>
      <c r="F229" s="29"/>
      <c r="G229" s="31"/>
      <c r="H229" s="29"/>
    </row>
    <row r="230" spans="1:8" x14ac:dyDescent="0.4">
      <c r="A230" s="29"/>
      <c r="B230" s="29"/>
      <c r="C230" s="29"/>
      <c r="D230" s="29"/>
      <c r="E230" s="30"/>
      <c r="F230" s="29"/>
      <c r="G230" s="31"/>
      <c r="H230" s="29"/>
    </row>
    <row r="231" spans="1:8" x14ac:dyDescent="0.4">
      <c r="A231" s="29"/>
      <c r="B231" s="29"/>
      <c r="C231" s="29"/>
      <c r="D231" s="29"/>
      <c r="E231" s="30"/>
      <c r="F231" s="29"/>
      <c r="G231" s="31"/>
      <c r="H231" s="29"/>
    </row>
    <row r="232" spans="1:8" x14ac:dyDescent="0.4">
      <c r="A232" s="29"/>
      <c r="B232" s="29"/>
      <c r="C232" s="29"/>
      <c r="D232" s="29"/>
      <c r="E232" s="30"/>
      <c r="F232" s="29"/>
      <c r="G232" s="31"/>
      <c r="H232" s="29"/>
    </row>
    <row r="233" spans="1:8" x14ac:dyDescent="0.4">
      <c r="A233" s="29"/>
      <c r="B233" s="29"/>
      <c r="C233" s="29"/>
      <c r="D233" s="29"/>
      <c r="E233" s="30"/>
      <c r="F233" s="29"/>
      <c r="G233" s="31"/>
      <c r="H233" s="29"/>
    </row>
    <row r="234" spans="1:8" x14ac:dyDescent="0.4">
      <c r="A234" s="29"/>
      <c r="B234" s="29"/>
      <c r="C234" s="29"/>
      <c r="D234" s="29"/>
      <c r="E234" s="30"/>
      <c r="F234" s="29"/>
      <c r="G234" s="31"/>
      <c r="H234" s="29"/>
    </row>
    <row r="235" spans="1:8" x14ac:dyDescent="0.4">
      <c r="A235" s="29"/>
      <c r="B235" s="29"/>
      <c r="C235" s="29"/>
      <c r="D235" s="29"/>
      <c r="E235" s="30"/>
      <c r="F235" s="29"/>
      <c r="G235" s="31"/>
      <c r="H235" s="29"/>
    </row>
    <row r="236" spans="1:8" x14ac:dyDescent="0.4">
      <c r="A236" s="29"/>
      <c r="B236" s="29"/>
      <c r="C236" s="29"/>
      <c r="D236" s="29"/>
      <c r="E236" s="30"/>
      <c r="F236" s="29"/>
      <c r="G236" s="31"/>
      <c r="H236" s="29"/>
    </row>
    <row r="237" spans="1:8" x14ac:dyDescent="0.4">
      <c r="A237" s="29"/>
      <c r="B237" s="29"/>
      <c r="C237" s="29"/>
      <c r="D237" s="29"/>
      <c r="E237" s="30"/>
      <c r="F237" s="29"/>
      <c r="G237" s="31"/>
      <c r="H237" s="29"/>
    </row>
    <row r="238" spans="1:8" x14ac:dyDescent="0.4">
      <c r="A238" s="29"/>
      <c r="B238" s="29"/>
      <c r="C238" s="29"/>
      <c r="D238" s="29"/>
      <c r="E238" s="30"/>
      <c r="F238" s="29"/>
      <c r="G238" s="31"/>
      <c r="H238" s="29"/>
    </row>
    <row r="239" spans="1:8" x14ac:dyDescent="0.4">
      <c r="A239" s="29"/>
      <c r="B239" s="29"/>
      <c r="C239" s="29"/>
      <c r="D239" s="29"/>
      <c r="E239" s="30"/>
      <c r="F239" s="29"/>
      <c r="G239" s="31"/>
      <c r="H239" s="29"/>
    </row>
    <row r="240" spans="1:8" x14ac:dyDescent="0.4">
      <c r="A240" s="29"/>
      <c r="B240" s="29"/>
      <c r="C240" s="29"/>
      <c r="D240" s="29"/>
      <c r="E240" s="30"/>
      <c r="F240" s="29"/>
      <c r="G240" s="31"/>
      <c r="H240" s="29"/>
    </row>
    <row r="241" spans="1:8" x14ac:dyDescent="0.4">
      <c r="A241" s="29"/>
      <c r="B241" s="29"/>
      <c r="C241" s="29"/>
      <c r="D241" s="29"/>
      <c r="E241" s="30"/>
      <c r="F241" s="29"/>
      <c r="G241" s="31"/>
      <c r="H241" s="29"/>
    </row>
    <row r="242" spans="1:8" x14ac:dyDescent="0.4">
      <c r="A242" s="29"/>
      <c r="B242" s="29"/>
      <c r="C242" s="29"/>
      <c r="D242" s="29"/>
      <c r="E242" s="30"/>
      <c r="F242" s="29"/>
      <c r="G242" s="31"/>
      <c r="H242" s="29"/>
    </row>
    <row r="243" spans="1:8" x14ac:dyDescent="0.4">
      <c r="A243" s="29"/>
      <c r="B243" s="29"/>
      <c r="C243" s="29"/>
      <c r="D243" s="29"/>
      <c r="E243" s="30"/>
      <c r="F243" s="29"/>
      <c r="G243" s="31"/>
      <c r="H243" s="29"/>
    </row>
    <row r="244" spans="1:8" x14ac:dyDescent="0.4">
      <c r="A244" s="29"/>
      <c r="B244" s="29"/>
      <c r="C244" s="29"/>
      <c r="D244" s="29"/>
      <c r="E244" s="30"/>
      <c r="F244" s="29"/>
      <c r="G244" s="31"/>
      <c r="H244" s="29"/>
    </row>
    <row r="245" spans="1:8" x14ac:dyDescent="0.4">
      <c r="A245" s="29"/>
      <c r="B245" s="29"/>
      <c r="C245" s="29"/>
      <c r="D245" s="29"/>
      <c r="E245" s="30"/>
      <c r="F245" s="29"/>
      <c r="G245" s="31"/>
      <c r="H245" s="29"/>
    </row>
    <row r="246" spans="1:8" x14ac:dyDescent="0.4">
      <c r="A246" s="29"/>
      <c r="B246" s="29"/>
      <c r="C246" s="29"/>
      <c r="D246" s="29"/>
      <c r="E246" s="30"/>
      <c r="F246" s="29"/>
      <c r="G246" s="31"/>
      <c r="H246" s="29"/>
    </row>
    <row r="247" spans="1:8" x14ac:dyDescent="0.4">
      <c r="A247" s="29"/>
      <c r="B247" s="29"/>
      <c r="C247" s="29"/>
      <c r="D247" s="29"/>
      <c r="E247" s="30"/>
      <c r="F247" s="29"/>
      <c r="G247" s="31"/>
      <c r="H247" s="29"/>
    </row>
    <row r="248" spans="1:8" x14ac:dyDescent="0.4">
      <c r="A248" s="29"/>
      <c r="B248" s="29"/>
      <c r="C248" s="29"/>
      <c r="D248" s="29"/>
      <c r="E248" s="30"/>
      <c r="F248" s="29"/>
      <c r="G248" s="31"/>
      <c r="H248" s="29"/>
    </row>
    <row r="249" spans="1:8" x14ac:dyDescent="0.4">
      <c r="A249" s="29"/>
      <c r="B249" s="29"/>
      <c r="C249" s="29"/>
      <c r="D249" s="29"/>
      <c r="E249" s="30"/>
      <c r="F249" s="29"/>
      <c r="G249" s="31"/>
      <c r="H249" s="29"/>
    </row>
    <row r="250" spans="1:8" x14ac:dyDescent="0.4">
      <c r="A250" s="29"/>
      <c r="B250" s="29"/>
      <c r="C250" s="29"/>
      <c r="D250" s="29"/>
      <c r="E250" s="30"/>
      <c r="F250" s="29"/>
      <c r="G250" s="31"/>
      <c r="H250" s="29"/>
    </row>
    <row r="251" spans="1:8" x14ac:dyDescent="0.4">
      <c r="A251" s="29"/>
      <c r="B251" s="29"/>
      <c r="C251" s="29"/>
      <c r="D251" s="29"/>
      <c r="E251" s="30"/>
      <c r="F251" s="29"/>
      <c r="G251" s="31"/>
      <c r="H251" s="29"/>
    </row>
    <row r="252" spans="1:8" x14ac:dyDescent="0.4">
      <c r="A252" s="29"/>
      <c r="B252" s="29"/>
      <c r="C252" s="29"/>
      <c r="D252" s="29"/>
      <c r="E252" s="30"/>
      <c r="F252" s="29"/>
      <c r="G252" s="31"/>
      <c r="H252" s="29"/>
    </row>
    <row r="253" spans="1:8" x14ac:dyDescent="0.4">
      <c r="A253" s="29"/>
      <c r="B253" s="29"/>
      <c r="C253" s="29"/>
      <c r="D253" s="29"/>
      <c r="E253" s="30"/>
      <c r="F253" s="29"/>
      <c r="G253" s="31"/>
      <c r="H253" s="29"/>
    </row>
    <row r="254" spans="1:8" x14ac:dyDescent="0.4">
      <c r="A254" s="29"/>
      <c r="B254" s="29"/>
      <c r="C254" s="29"/>
      <c r="D254" s="29"/>
      <c r="E254" s="30"/>
      <c r="F254" s="29"/>
      <c r="G254" s="31"/>
      <c r="H254" s="29"/>
    </row>
    <row r="255" spans="1:8" x14ac:dyDescent="0.4">
      <c r="A255" s="29"/>
      <c r="B255" s="29"/>
      <c r="C255" s="29"/>
      <c r="D255" s="29"/>
      <c r="E255" s="30"/>
      <c r="F255" s="29"/>
      <c r="G255" s="31"/>
      <c r="H255" s="29"/>
    </row>
    <row r="256" spans="1:8" x14ac:dyDescent="0.4">
      <c r="A256" s="29"/>
      <c r="B256" s="29"/>
      <c r="C256" s="29"/>
      <c r="D256" s="29"/>
      <c r="E256" s="30"/>
      <c r="F256" s="29"/>
      <c r="G256" s="31"/>
      <c r="H256" s="29"/>
    </row>
    <row r="257" spans="1:8" x14ac:dyDescent="0.4">
      <c r="A257" s="29"/>
      <c r="B257" s="29"/>
      <c r="C257" s="29"/>
      <c r="D257" s="29"/>
      <c r="E257" s="30"/>
      <c r="F257" s="29"/>
      <c r="G257" s="31"/>
      <c r="H257" s="29"/>
    </row>
    <row r="258" spans="1:8" x14ac:dyDescent="0.4">
      <c r="A258" s="29"/>
      <c r="B258" s="29"/>
      <c r="C258" s="29"/>
      <c r="D258" s="29"/>
      <c r="E258" s="30"/>
      <c r="F258" s="29"/>
      <c r="G258" s="31"/>
      <c r="H258" s="29"/>
    </row>
    <row r="259" spans="1:8" x14ac:dyDescent="0.4">
      <c r="A259" s="29"/>
      <c r="B259" s="29"/>
      <c r="C259" s="29"/>
      <c r="D259" s="29"/>
      <c r="E259" s="30"/>
      <c r="F259" s="29"/>
      <c r="G259" s="31"/>
      <c r="H259" s="29"/>
    </row>
    <row r="260" spans="1:8" x14ac:dyDescent="0.4">
      <c r="A260" s="29"/>
      <c r="B260" s="29"/>
      <c r="C260" s="29"/>
      <c r="D260" s="29"/>
      <c r="E260" s="30"/>
      <c r="F260" s="29"/>
      <c r="G260" s="31"/>
      <c r="H260" s="29"/>
    </row>
    <row r="261" spans="1:8" x14ac:dyDescent="0.4">
      <c r="A261" s="29"/>
      <c r="B261" s="29"/>
      <c r="C261" s="29"/>
      <c r="D261" s="29"/>
      <c r="E261" s="30"/>
      <c r="F261" s="29"/>
      <c r="G261" s="31"/>
      <c r="H261" s="29"/>
    </row>
    <row r="262" spans="1:8" x14ac:dyDescent="0.4">
      <c r="A262" s="29"/>
      <c r="B262" s="29"/>
      <c r="C262" s="29"/>
      <c r="D262" s="29"/>
      <c r="E262" s="30"/>
      <c r="F262" s="29"/>
      <c r="G262" s="31"/>
      <c r="H262" s="29"/>
    </row>
    <row r="263" spans="1:8" x14ac:dyDescent="0.4">
      <c r="A263" s="29"/>
      <c r="B263" s="29"/>
      <c r="C263" s="29"/>
      <c r="D263" s="29"/>
      <c r="E263" s="30"/>
      <c r="F263" s="29"/>
      <c r="G263" s="31"/>
      <c r="H263" s="29"/>
    </row>
    <row r="264" spans="1:8" x14ac:dyDescent="0.4">
      <c r="A264" s="29"/>
      <c r="B264" s="29"/>
      <c r="C264" s="29"/>
      <c r="D264" s="29"/>
      <c r="E264" s="30"/>
      <c r="F264" s="29"/>
      <c r="G264" s="31"/>
      <c r="H264" s="29"/>
    </row>
    <row r="265" spans="1:8" x14ac:dyDescent="0.4">
      <c r="A265" s="29"/>
      <c r="B265" s="29"/>
      <c r="C265" s="29"/>
      <c r="D265" s="29"/>
      <c r="E265" s="30"/>
      <c r="F265" s="29"/>
      <c r="G265" s="31"/>
      <c r="H265" s="29"/>
    </row>
    <row r="266" spans="1:8" x14ac:dyDescent="0.4">
      <c r="A266" s="29"/>
      <c r="B266" s="29"/>
      <c r="C266" s="29"/>
      <c r="D266" s="29"/>
      <c r="E266" s="30"/>
      <c r="F266" s="29"/>
      <c r="G266" s="31"/>
      <c r="H266" s="29"/>
    </row>
    <row r="267" spans="1:8" x14ac:dyDescent="0.4">
      <c r="A267" s="29"/>
      <c r="B267" s="29"/>
      <c r="C267" s="29"/>
      <c r="D267" s="29"/>
      <c r="E267" s="30"/>
      <c r="F267" s="29"/>
      <c r="G267" s="31"/>
      <c r="H267" s="29"/>
    </row>
    <row r="268" spans="1:8" x14ac:dyDescent="0.4">
      <c r="A268" s="29"/>
      <c r="B268" s="29"/>
      <c r="C268" s="29"/>
      <c r="D268" s="29"/>
      <c r="E268" s="30"/>
      <c r="F268" s="29"/>
      <c r="G268" s="31"/>
      <c r="H268" s="29"/>
    </row>
    <row r="269" spans="1:8" x14ac:dyDescent="0.4">
      <c r="A269" s="29"/>
      <c r="B269" s="29"/>
      <c r="C269" s="29"/>
      <c r="D269" s="29"/>
      <c r="E269" s="30"/>
      <c r="F269" s="29"/>
      <c r="G269" s="31"/>
      <c r="H269" s="29"/>
    </row>
    <row r="270" spans="1:8" x14ac:dyDescent="0.4">
      <c r="A270" s="29"/>
      <c r="B270" s="29"/>
      <c r="C270" s="29"/>
      <c r="D270" s="29"/>
      <c r="E270" s="30"/>
      <c r="F270" s="29"/>
      <c r="G270" s="31"/>
      <c r="H270" s="29"/>
    </row>
    <row r="271" spans="1:8" x14ac:dyDescent="0.4">
      <c r="A271" s="29"/>
      <c r="B271" s="29"/>
      <c r="C271" s="29"/>
      <c r="D271" s="29"/>
      <c r="E271" s="30"/>
      <c r="F271" s="29"/>
      <c r="G271" s="31"/>
      <c r="H271" s="29"/>
    </row>
    <row r="272" spans="1:8" x14ac:dyDescent="0.4">
      <c r="A272" s="29"/>
      <c r="B272" s="29"/>
      <c r="C272" s="29"/>
      <c r="D272" s="29"/>
      <c r="E272" s="30"/>
      <c r="F272" s="29"/>
      <c r="G272" s="31"/>
      <c r="H272" s="29"/>
    </row>
    <row r="273" spans="1:8" x14ac:dyDescent="0.4">
      <c r="A273" s="29"/>
      <c r="B273" s="29"/>
      <c r="C273" s="29"/>
      <c r="D273" s="29"/>
      <c r="E273" s="30"/>
      <c r="F273" s="29"/>
      <c r="G273" s="31"/>
      <c r="H273" s="29"/>
    </row>
    <row r="274" spans="1:8" x14ac:dyDescent="0.4">
      <c r="A274" s="29"/>
      <c r="B274" s="29"/>
      <c r="C274" s="29"/>
      <c r="D274" s="29"/>
      <c r="E274" s="30"/>
      <c r="F274" s="29"/>
      <c r="G274" s="31"/>
      <c r="H274" s="29"/>
    </row>
    <row r="275" spans="1:8" x14ac:dyDescent="0.4">
      <c r="A275" s="29"/>
      <c r="B275" s="29"/>
      <c r="C275" s="29"/>
      <c r="D275" s="29"/>
      <c r="E275" s="30"/>
      <c r="F275" s="29"/>
      <c r="G275" s="31"/>
      <c r="H275" s="29"/>
    </row>
    <row r="276" spans="1:8" x14ac:dyDescent="0.4">
      <c r="A276" s="29"/>
      <c r="B276" s="29"/>
      <c r="C276" s="29"/>
      <c r="D276" s="29"/>
      <c r="E276" s="30"/>
      <c r="F276" s="29"/>
      <c r="G276" s="31"/>
      <c r="H276" s="29"/>
    </row>
    <row r="277" spans="1:8" x14ac:dyDescent="0.4">
      <c r="A277" s="29"/>
      <c r="B277" s="29"/>
      <c r="C277" s="29"/>
      <c r="D277" s="29"/>
      <c r="E277" s="30"/>
      <c r="F277" s="29"/>
      <c r="G277" s="31"/>
      <c r="H277" s="29"/>
    </row>
    <row r="278" spans="1:8" x14ac:dyDescent="0.4">
      <c r="A278" s="29"/>
      <c r="B278" s="29"/>
      <c r="C278" s="29"/>
      <c r="D278" s="29"/>
      <c r="E278" s="30"/>
      <c r="F278" s="29"/>
      <c r="G278" s="31"/>
      <c r="H278" s="29"/>
    </row>
    <row r="279" spans="1:8" x14ac:dyDescent="0.4">
      <c r="A279" s="29"/>
      <c r="B279" s="29"/>
      <c r="C279" s="29"/>
      <c r="D279" s="29"/>
      <c r="E279" s="30"/>
      <c r="F279" s="29"/>
      <c r="G279" s="31"/>
      <c r="H279" s="29"/>
    </row>
    <row r="280" spans="1:8" x14ac:dyDescent="0.4">
      <c r="A280" s="29"/>
      <c r="B280" s="29"/>
      <c r="C280" s="29"/>
      <c r="D280" s="29"/>
      <c r="E280" s="30"/>
      <c r="F280" s="29"/>
      <c r="G280" s="31"/>
      <c r="H280" s="29"/>
    </row>
    <row r="281" spans="1:8" x14ac:dyDescent="0.4">
      <c r="A281" s="29"/>
      <c r="B281" s="29"/>
      <c r="C281" s="29"/>
      <c r="D281" s="29"/>
      <c r="E281" s="30"/>
      <c r="F281" s="29"/>
      <c r="G281" s="31"/>
      <c r="H281" s="29"/>
    </row>
    <row r="282" spans="1:8" x14ac:dyDescent="0.4">
      <c r="A282" s="29"/>
      <c r="B282" s="29"/>
      <c r="C282" s="29"/>
      <c r="D282" s="29"/>
      <c r="E282" s="30"/>
      <c r="F282" s="29"/>
      <c r="G282" s="31"/>
      <c r="H282" s="29"/>
    </row>
    <row r="283" spans="1:8" x14ac:dyDescent="0.4">
      <c r="A283" s="29"/>
      <c r="B283" s="29"/>
      <c r="C283" s="29"/>
      <c r="D283" s="29"/>
      <c r="E283" s="30"/>
      <c r="F283" s="29"/>
      <c r="G283" s="31"/>
      <c r="H283" s="29"/>
    </row>
    <row r="284" spans="1:8" x14ac:dyDescent="0.4">
      <c r="A284" s="29"/>
      <c r="B284" s="29"/>
      <c r="C284" s="29"/>
      <c r="D284" s="29"/>
      <c r="E284" s="30"/>
      <c r="F284" s="29"/>
      <c r="G284" s="31"/>
      <c r="H284" s="29"/>
    </row>
    <row r="285" spans="1:8" x14ac:dyDescent="0.4">
      <c r="A285" s="29"/>
      <c r="B285" s="29"/>
      <c r="C285" s="29"/>
      <c r="D285" s="29"/>
      <c r="E285" s="30"/>
      <c r="F285" s="29"/>
      <c r="G285" s="31"/>
      <c r="H285" s="29"/>
    </row>
    <row r="286" spans="1:8" x14ac:dyDescent="0.4">
      <c r="A286" s="29"/>
      <c r="B286" s="29"/>
      <c r="C286" s="29"/>
      <c r="D286" s="29"/>
      <c r="E286" s="30"/>
      <c r="F286" s="29"/>
      <c r="G286" s="31"/>
      <c r="H286" s="29"/>
    </row>
    <row r="287" spans="1:8" x14ac:dyDescent="0.4">
      <c r="A287" s="29"/>
      <c r="B287" s="29"/>
      <c r="C287" s="29"/>
      <c r="D287" s="29"/>
      <c r="E287" s="30"/>
      <c r="F287" s="29"/>
      <c r="G287" s="31"/>
      <c r="H287" s="29"/>
    </row>
    <row r="288" spans="1:8" x14ac:dyDescent="0.4">
      <c r="A288" s="29"/>
      <c r="B288" s="29"/>
      <c r="C288" s="29"/>
      <c r="D288" s="29"/>
      <c r="E288" s="30"/>
      <c r="F288" s="29"/>
      <c r="G288" s="31"/>
      <c r="H288" s="29"/>
    </row>
    <row r="289" spans="1:8" x14ac:dyDescent="0.4">
      <c r="A289" s="29"/>
      <c r="B289" s="29"/>
      <c r="C289" s="29"/>
      <c r="D289" s="29"/>
      <c r="E289" s="30"/>
      <c r="F289" s="29"/>
      <c r="G289" s="31"/>
      <c r="H289" s="29"/>
    </row>
    <row r="290" spans="1:8" x14ac:dyDescent="0.4">
      <c r="A290" s="29"/>
      <c r="B290" s="29"/>
      <c r="C290" s="29"/>
      <c r="D290" s="29"/>
      <c r="E290" s="30"/>
      <c r="F290" s="29"/>
      <c r="G290" s="31"/>
      <c r="H290" s="29"/>
    </row>
    <row r="291" spans="1:8" x14ac:dyDescent="0.4">
      <c r="A291" s="29"/>
      <c r="B291" s="29"/>
      <c r="C291" s="29"/>
      <c r="D291" s="29"/>
      <c r="E291" s="30"/>
      <c r="F291" s="29"/>
      <c r="G291" s="31"/>
      <c r="H291" s="29"/>
    </row>
    <row r="292" spans="1:8" x14ac:dyDescent="0.4">
      <c r="A292" s="29"/>
      <c r="B292" s="29"/>
      <c r="C292" s="29"/>
      <c r="D292" s="29"/>
      <c r="E292" s="30"/>
      <c r="F292" s="29"/>
      <c r="G292" s="31"/>
      <c r="H292" s="29"/>
    </row>
    <row r="293" spans="1:8" x14ac:dyDescent="0.4">
      <c r="A293" s="29"/>
      <c r="B293" s="29"/>
      <c r="C293" s="29"/>
      <c r="D293" s="29"/>
      <c r="E293" s="30"/>
      <c r="F293" s="29"/>
      <c r="G293" s="31"/>
      <c r="H293" s="29"/>
    </row>
    <row r="294" spans="1:8" x14ac:dyDescent="0.4">
      <c r="A294" s="29"/>
      <c r="B294" s="29"/>
      <c r="C294" s="29"/>
      <c r="D294" s="29"/>
      <c r="E294" s="30"/>
      <c r="F294" s="29"/>
      <c r="G294" s="31"/>
      <c r="H294" s="29"/>
    </row>
    <row r="295" spans="1:8" x14ac:dyDescent="0.4">
      <c r="A295" s="29"/>
      <c r="B295" s="29"/>
      <c r="C295" s="29"/>
      <c r="D295" s="29"/>
      <c r="E295" s="30"/>
      <c r="F295" s="29"/>
      <c r="G295" s="31"/>
      <c r="H295" s="29"/>
    </row>
    <row r="296" spans="1:8" x14ac:dyDescent="0.4">
      <c r="A296" s="29"/>
      <c r="B296" s="29"/>
      <c r="C296" s="29"/>
      <c r="D296" s="29"/>
      <c r="E296" s="30"/>
      <c r="F296" s="29"/>
      <c r="G296" s="31"/>
      <c r="H296" s="29"/>
    </row>
    <row r="297" spans="1:8" x14ac:dyDescent="0.4">
      <c r="A297" s="29"/>
      <c r="B297" s="29"/>
      <c r="C297" s="29"/>
      <c r="D297" s="29"/>
      <c r="E297" s="30"/>
      <c r="F297" s="29"/>
      <c r="G297" s="31"/>
      <c r="H297" s="29"/>
    </row>
    <row r="298" spans="1:8" x14ac:dyDescent="0.4">
      <c r="A298" s="29"/>
      <c r="B298" s="29"/>
      <c r="C298" s="29"/>
      <c r="D298" s="29"/>
      <c r="E298" s="30"/>
      <c r="F298" s="29"/>
      <c r="G298" s="31"/>
      <c r="H298" s="29"/>
    </row>
    <row r="299" spans="1:8" x14ac:dyDescent="0.4">
      <c r="A299" s="29"/>
      <c r="B299" s="29"/>
      <c r="C299" s="29"/>
      <c r="D299" s="29"/>
      <c r="E299" s="30"/>
      <c r="F299" s="29"/>
      <c r="G299" s="31"/>
      <c r="H299" s="29"/>
    </row>
    <row r="300" spans="1:8" x14ac:dyDescent="0.4">
      <c r="A300" s="29"/>
      <c r="B300" s="29"/>
      <c r="C300" s="29"/>
      <c r="D300" s="29"/>
      <c r="E300" s="30"/>
      <c r="F300" s="29"/>
      <c r="G300" s="31"/>
      <c r="H300" s="29"/>
    </row>
    <row r="301" spans="1:8" x14ac:dyDescent="0.4">
      <c r="A301" s="29"/>
      <c r="B301" s="29"/>
      <c r="C301" s="29"/>
      <c r="D301" s="29"/>
      <c r="E301" s="30"/>
      <c r="F301" s="29"/>
      <c r="G301" s="31"/>
      <c r="H301" s="29"/>
    </row>
    <row r="302" spans="1:8" x14ac:dyDescent="0.4">
      <c r="A302" s="29"/>
      <c r="B302" s="29"/>
      <c r="C302" s="29"/>
      <c r="D302" s="29"/>
      <c r="E302" s="30"/>
      <c r="F302" s="29"/>
      <c r="G302" s="31"/>
      <c r="H302" s="29"/>
    </row>
    <row r="303" spans="1:8" x14ac:dyDescent="0.4">
      <c r="A303" s="29"/>
      <c r="B303" s="29"/>
      <c r="C303" s="29"/>
      <c r="D303" s="29"/>
      <c r="E303" s="30"/>
      <c r="F303" s="29"/>
      <c r="G303" s="31"/>
      <c r="H303" s="29"/>
    </row>
    <row r="304" spans="1:8" x14ac:dyDescent="0.4">
      <c r="A304" s="29"/>
      <c r="B304" s="29"/>
      <c r="C304" s="29"/>
      <c r="D304" s="29"/>
      <c r="E304" s="30"/>
      <c r="F304" s="29"/>
      <c r="G304" s="31"/>
      <c r="H304" s="29"/>
    </row>
    <row r="305" spans="1:8" x14ac:dyDescent="0.4">
      <c r="A305" s="29"/>
      <c r="B305" s="29"/>
      <c r="C305" s="29"/>
      <c r="D305" s="29"/>
      <c r="E305" s="30"/>
      <c r="F305" s="29"/>
      <c r="G305" s="31"/>
      <c r="H305" s="29"/>
    </row>
    <row r="306" spans="1:8" x14ac:dyDescent="0.4">
      <c r="A306" s="29"/>
      <c r="B306" s="29"/>
      <c r="C306" s="29"/>
      <c r="D306" s="29"/>
      <c r="E306" s="30"/>
      <c r="F306" s="29"/>
      <c r="G306" s="31"/>
      <c r="H306" s="29"/>
    </row>
    <row r="307" spans="1:8" x14ac:dyDescent="0.4">
      <c r="A307" s="29"/>
      <c r="B307" s="29"/>
      <c r="C307" s="29"/>
      <c r="D307" s="29"/>
      <c r="E307" s="30"/>
      <c r="F307" s="29"/>
      <c r="G307" s="31"/>
      <c r="H307" s="29"/>
    </row>
    <row r="308" spans="1:8" x14ac:dyDescent="0.4">
      <c r="A308" s="29"/>
      <c r="B308" s="29"/>
      <c r="C308" s="29"/>
      <c r="D308" s="29"/>
      <c r="E308" s="30"/>
      <c r="F308" s="29"/>
      <c r="G308" s="31"/>
      <c r="H308" s="29"/>
    </row>
    <row r="309" spans="1:8" x14ac:dyDescent="0.4">
      <c r="A309" s="29"/>
      <c r="B309" s="29"/>
      <c r="C309" s="29"/>
      <c r="D309" s="29"/>
      <c r="E309" s="30"/>
      <c r="F309" s="29"/>
      <c r="G309" s="31"/>
      <c r="H309" s="29"/>
    </row>
    <row r="310" spans="1:8" x14ac:dyDescent="0.4">
      <c r="A310" s="29"/>
      <c r="B310" s="29"/>
      <c r="C310" s="29"/>
      <c r="D310" s="29"/>
      <c r="E310" s="30"/>
      <c r="F310" s="29"/>
      <c r="G310" s="31"/>
      <c r="H310" s="29"/>
    </row>
    <row r="311" spans="1:8" x14ac:dyDescent="0.4">
      <c r="A311" s="29"/>
      <c r="B311" s="29"/>
      <c r="C311" s="29"/>
      <c r="D311" s="29"/>
      <c r="E311" s="30"/>
      <c r="F311" s="29"/>
      <c r="G311" s="31"/>
      <c r="H311" s="29"/>
    </row>
    <row r="312" spans="1:8" x14ac:dyDescent="0.4">
      <c r="A312" s="29"/>
      <c r="B312" s="29"/>
      <c r="C312" s="29"/>
      <c r="D312" s="29"/>
      <c r="E312" s="30"/>
      <c r="F312" s="29"/>
      <c r="G312" s="31"/>
      <c r="H312" s="29"/>
    </row>
    <row r="313" spans="1:8" x14ac:dyDescent="0.4">
      <c r="A313" s="29"/>
      <c r="B313" s="29"/>
      <c r="C313" s="29"/>
      <c r="D313" s="29"/>
      <c r="E313" s="30"/>
      <c r="F313" s="29"/>
      <c r="G313" s="31"/>
      <c r="H313" s="29"/>
    </row>
    <row r="314" spans="1:8" x14ac:dyDescent="0.4">
      <c r="A314" s="29"/>
      <c r="B314" s="29"/>
      <c r="C314" s="29"/>
      <c r="D314" s="29"/>
      <c r="E314" s="30"/>
      <c r="F314" s="29"/>
      <c r="G314" s="31"/>
      <c r="H314" s="29"/>
    </row>
    <row r="315" spans="1:8" x14ac:dyDescent="0.4">
      <c r="A315" s="29"/>
      <c r="B315" s="29"/>
      <c r="C315" s="29"/>
      <c r="D315" s="29"/>
      <c r="E315" s="30"/>
      <c r="F315" s="29"/>
      <c r="G315" s="31"/>
      <c r="H315" s="29"/>
    </row>
    <row r="316" spans="1:8" x14ac:dyDescent="0.4">
      <c r="A316" s="29"/>
      <c r="B316" s="29"/>
      <c r="C316" s="29"/>
      <c r="D316" s="29"/>
      <c r="E316" s="30"/>
      <c r="F316" s="29"/>
      <c r="G316" s="31"/>
      <c r="H316" s="29"/>
    </row>
    <row r="317" spans="1:8" x14ac:dyDescent="0.4">
      <c r="A317" s="29"/>
      <c r="B317" s="29"/>
      <c r="C317" s="29"/>
      <c r="D317" s="29"/>
      <c r="E317" s="30"/>
      <c r="F317" s="29"/>
      <c r="G317" s="31"/>
      <c r="H317" s="29"/>
    </row>
    <row r="318" spans="1:8" x14ac:dyDescent="0.4">
      <c r="A318" s="29"/>
      <c r="B318" s="29"/>
      <c r="C318" s="29"/>
      <c r="D318" s="29"/>
      <c r="E318" s="30"/>
      <c r="F318" s="29"/>
      <c r="G318" s="31"/>
      <c r="H318" s="29"/>
    </row>
    <row r="319" spans="1:8" x14ac:dyDescent="0.4">
      <c r="A319" s="29"/>
      <c r="B319" s="29"/>
      <c r="C319" s="29"/>
      <c r="D319" s="29"/>
      <c r="E319" s="30"/>
      <c r="F319" s="29"/>
      <c r="G319" s="31"/>
      <c r="H319" s="29"/>
    </row>
    <row r="320" spans="1:8" x14ac:dyDescent="0.4">
      <c r="A320" s="29"/>
      <c r="B320" s="29"/>
      <c r="C320" s="29"/>
      <c r="D320" s="29"/>
      <c r="E320" s="30"/>
      <c r="F320" s="29"/>
      <c r="G320" s="31"/>
      <c r="H320" s="29"/>
    </row>
    <row r="321" spans="1:8" x14ac:dyDescent="0.4">
      <c r="A321" s="29"/>
      <c r="B321" s="29"/>
      <c r="C321" s="29"/>
      <c r="D321" s="29"/>
      <c r="E321" s="30"/>
      <c r="F321" s="29"/>
      <c r="G321" s="31"/>
      <c r="H321" s="29"/>
    </row>
    <row r="322" spans="1:8" x14ac:dyDescent="0.4">
      <c r="A322" s="29"/>
      <c r="B322" s="29"/>
      <c r="C322" s="29"/>
      <c r="D322" s="29"/>
      <c r="E322" s="30"/>
      <c r="F322" s="29"/>
      <c r="G322" s="31"/>
      <c r="H322" s="29"/>
    </row>
    <row r="323" spans="1:8" x14ac:dyDescent="0.4">
      <c r="A323" s="29"/>
      <c r="B323" s="29"/>
      <c r="C323" s="29"/>
      <c r="D323" s="29"/>
      <c r="E323" s="30"/>
      <c r="F323" s="29"/>
      <c r="G323" s="31"/>
      <c r="H323" s="29"/>
    </row>
    <row r="324" spans="1:8" x14ac:dyDescent="0.4">
      <c r="A324" s="29"/>
      <c r="B324" s="29"/>
      <c r="C324" s="29"/>
      <c r="D324" s="29"/>
      <c r="E324" s="30"/>
      <c r="F324" s="29"/>
      <c r="G324" s="31"/>
      <c r="H324" s="29"/>
    </row>
    <row r="325" spans="1:8" x14ac:dyDescent="0.4">
      <c r="A325" s="29"/>
      <c r="B325" s="29"/>
      <c r="C325" s="29"/>
      <c r="D325" s="29"/>
      <c r="E325" s="30"/>
      <c r="F325" s="29"/>
      <c r="G325" s="31"/>
      <c r="H325" s="29"/>
    </row>
    <row r="326" spans="1:8" x14ac:dyDescent="0.4">
      <c r="A326" s="29"/>
      <c r="B326" s="29"/>
      <c r="C326" s="29"/>
      <c r="D326" s="29"/>
      <c r="E326" s="30"/>
      <c r="F326" s="29"/>
      <c r="G326" s="31"/>
      <c r="H326" s="29"/>
    </row>
    <row r="327" spans="1:8" x14ac:dyDescent="0.4">
      <c r="A327" s="29"/>
      <c r="B327" s="29"/>
      <c r="C327" s="29"/>
      <c r="D327" s="29"/>
      <c r="E327" s="30"/>
      <c r="F327" s="29"/>
      <c r="G327" s="31"/>
      <c r="H327" s="29"/>
    </row>
    <row r="328" spans="1:8" x14ac:dyDescent="0.4">
      <c r="A328" s="29"/>
      <c r="B328" s="29"/>
      <c r="C328" s="29"/>
      <c r="D328" s="29"/>
      <c r="E328" s="30"/>
      <c r="F328" s="29"/>
      <c r="G328" s="31"/>
      <c r="H328" s="29"/>
    </row>
    <row r="329" spans="1:8" x14ac:dyDescent="0.4">
      <c r="A329" s="29"/>
      <c r="B329" s="29"/>
      <c r="C329" s="29"/>
      <c r="D329" s="29"/>
      <c r="E329" s="30"/>
      <c r="F329" s="29"/>
      <c r="G329" s="31"/>
      <c r="H329" s="29"/>
    </row>
    <row r="330" spans="1:8" x14ac:dyDescent="0.4">
      <c r="A330" s="29"/>
      <c r="B330" s="29"/>
      <c r="C330" s="29"/>
      <c r="D330" s="29"/>
      <c r="E330" s="30"/>
      <c r="F330" s="29"/>
      <c r="G330" s="31"/>
      <c r="H330" s="29"/>
    </row>
    <row r="331" spans="1:8" x14ac:dyDescent="0.4">
      <c r="A331" s="29"/>
      <c r="B331" s="29"/>
      <c r="C331" s="29"/>
      <c r="D331" s="29"/>
      <c r="E331" s="30"/>
      <c r="F331" s="29"/>
      <c r="G331" s="31"/>
      <c r="H331" s="29"/>
    </row>
    <row r="332" spans="1:8" x14ac:dyDescent="0.4">
      <c r="A332" s="29"/>
      <c r="B332" s="29"/>
      <c r="C332" s="29"/>
      <c r="D332" s="29"/>
      <c r="E332" s="30"/>
      <c r="F332" s="29"/>
      <c r="G332" s="31"/>
      <c r="H332" s="29"/>
    </row>
    <row r="333" spans="1:8" x14ac:dyDescent="0.4">
      <c r="A333" s="29"/>
      <c r="B333" s="29"/>
      <c r="C333" s="29"/>
      <c r="D333" s="29"/>
      <c r="E333" s="30"/>
      <c r="F333" s="29"/>
      <c r="G333" s="31"/>
      <c r="H333" s="29"/>
    </row>
    <row r="334" spans="1:8" x14ac:dyDescent="0.4">
      <c r="A334" s="29"/>
      <c r="B334" s="29"/>
      <c r="C334" s="29"/>
      <c r="D334" s="29"/>
      <c r="E334" s="30"/>
      <c r="F334" s="29"/>
      <c r="G334" s="31"/>
      <c r="H334" s="29"/>
    </row>
    <row r="335" spans="1:8" x14ac:dyDescent="0.4">
      <c r="A335" s="29"/>
      <c r="B335" s="29"/>
      <c r="C335" s="29"/>
      <c r="D335" s="29"/>
      <c r="E335" s="30"/>
      <c r="F335" s="29"/>
      <c r="G335" s="31"/>
      <c r="H335" s="29"/>
    </row>
    <row r="336" spans="1:8" x14ac:dyDescent="0.4">
      <c r="A336" s="29"/>
      <c r="B336" s="29"/>
      <c r="C336" s="29"/>
      <c r="D336" s="29"/>
      <c r="E336" s="30"/>
      <c r="F336" s="29"/>
      <c r="G336" s="31"/>
      <c r="H336" s="29"/>
    </row>
    <row r="337" spans="1:8" x14ac:dyDescent="0.4">
      <c r="A337" s="29"/>
      <c r="B337" s="29"/>
      <c r="C337" s="29"/>
      <c r="D337" s="29"/>
      <c r="E337" s="30"/>
      <c r="F337" s="29"/>
      <c r="G337" s="31"/>
      <c r="H337" s="29"/>
    </row>
    <row r="338" spans="1:8" x14ac:dyDescent="0.4">
      <c r="A338" s="29"/>
      <c r="B338" s="29"/>
      <c r="C338" s="29"/>
      <c r="D338" s="29"/>
      <c r="E338" s="30"/>
      <c r="F338" s="29"/>
      <c r="G338" s="31"/>
      <c r="H338" s="29"/>
    </row>
    <row r="339" spans="1:8" x14ac:dyDescent="0.4">
      <c r="A339" s="29"/>
      <c r="B339" s="29"/>
      <c r="C339" s="29"/>
      <c r="D339" s="29"/>
      <c r="E339" s="30"/>
      <c r="F339" s="29"/>
      <c r="G339" s="31"/>
      <c r="H339" s="29"/>
    </row>
    <row r="340" spans="1:8" x14ac:dyDescent="0.4">
      <c r="A340" s="29"/>
      <c r="B340" s="29"/>
      <c r="C340" s="29"/>
      <c r="D340" s="29"/>
      <c r="E340" s="30"/>
      <c r="F340" s="29"/>
      <c r="G340" s="31"/>
      <c r="H340" s="29"/>
    </row>
    <row r="341" spans="1:8" x14ac:dyDescent="0.4">
      <c r="A341" s="29"/>
      <c r="B341" s="29"/>
      <c r="C341" s="29"/>
      <c r="D341" s="29"/>
      <c r="E341" s="30"/>
      <c r="F341" s="29"/>
      <c r="G341" s="31"/>
      <c r="H341" s="29"/>
    </row>
    <row r="342" spans="1:8" x14ac:dyDescent="0.4">
      <c r="A342" s="29"/>
      <c r="B342" s="29"/>
      <c r="C342" s="29"/>
      <c r="D342" s="29"/>
      <c r="E342" s="30"/>
      <c r="F342" s="29"/>
      <c r="G342" s="31"/>
      <c r="H342" s="29"/>
    </row>
    <row r="343" spans="1:8" x14ac:dyDescent="0.4">
      <c r="A343" s="29"/>
      <c r="B343" s="29"/>
      <c r="C343" s="29"/>
      <c r="D343" s="29"/>
      <c r="E343" s="30"/>
      <c r="F343" s="29"/>
      <c r="G343" s="31"/>
      <c r="H343" s="29"/>
    </row>
    <row r="344" spans="1:8" x14ac:dyDescent="0.4">
      <c r="A344" s="29"/>
      <c r="B344" s="29"/>
      <c r="C344" s="29"/>
      <c r="D344" s="29"/>
      <c r="E344" s="30"/>
      <c r="F344" s="29"/>
      <c r="G344" s="31"/>
      <c r="H344" s="29"/>
    </row>
    <row r="345" spans="1:8" x14ac:dyDescent="0.4">
      <c r="A345" s="29"/>
      <c r="B345" s="29"/>
      <c r="C345" s="29"/>
      <c r="D345" s="29"/>
      <c r="E345" s="30"/>
      <c r="F345" s="29"/>
      <c r="G345" s="31"/>
      <c r="H345" s="29"/>
    </row>
    <row r="346" spans="1:8" x14ac:dyDescent="0.4">
      <c r="A346" s="29"/>
      <c r="B346" s="29"/>
      <c r="C346" s="29"/>
      <c r="D346" s="29"/>
      <c r="E346" s="30"/>
      <c r="F346" s="29"/>
      <c r="G346" s="31"/>
      <c r="H346" s="29"/>
    </row>
    <row r="347" spans="1:8" x14ac:dyDescent="0.4">
      <c r="A347" s="29"/>
      <c r="B347" s="29"/>
      <c r="C347" s="29"/>
      <c r="D347" s="29"/>
      <c r="E347" s="30"/>
      <c r="F347" s="29"/>
      <c r="G347" s="31"/>
      <c r="H347" s="29"/>
    </row>
    <row r="348" spans="1:8" x14ac:dyDescent="0.4">
      <c r="A348" s="29"/>
      <c r="B348" s="29"/>
      <c r="C348" s="29"/>
      <c r="D348" s="29"/>
      <c r="E348" s="30"/>
      <c r="F348" s="29"/>
      <c r="G348" s="31"/>
      <c r="H348" s="29"/>
    </row>
    <row r="349" spans="1:8" x14ac:dyDescent="0.4">
      <c r="A349" s="29"/>
      <c r="B349" s="29"/>
      <c r="C349" s="29"/>
      <c r="D349" s="29"/>
      <c r="E349" s="30"/>
      <c r="F349" s="29"/>
      <c r="G349" s="31"/>
      <c r="H349" s="29"/>
    </row>
    <row r="350" spans="1:8" x14ac:dyDescent="0.4">
      <c r="A350" s="29"/>
      <c r="B350" s="29"/>
      <c r="C350" s="29"/>
      <c r="D350" s="29"/>
      <c r="E350" s="30"/>
      <c r="F350" s="29"/>
      <c r="G350" s="31"/>
      <c r="H350" s="29"/>
    </row>
    <row r="351" spans="1:8" x14ac:dyDescent="0.4">
      <c r="A351" s="29"/>
      <c r="B351" s="29"/>
      <c r="C351" s="29"/>
      <c r="D351" s="29"/>
      <c r="E351" s="30"/>
      <c r="F351" s="29"/>
      <c r="G351" s="31"/>
      <c r="H351" s="29"/>
    </row>
    <row r="352" spans="1:8" x14ac:dyDescent="0.4">
      <c r="A352" s="29"/>
      <c r="B352" s="29"/>
      <c r="C352" s="29"/>
      <c r="D352" s="29"/>
      <c r="E352" s="30"/>
      <c r="F352" s="29"/>
      <c r="G352" s="31"/>
      <c r="H352" s="29"/>
    </row>
    <row r="353" spans="1:8" x14ac:dyDescent="0.4">
      <c r="A353" s="29"/>
      <c r="B353" s="29"/>
      <c r="C353" s="29"/>
      <c r="D353" s="29"/>
      <c r="E353" s="30"/>
      <c r="F353" s="29"/>
      <c r="G353" s="31"/>
      <c r="H353" s="29"/>
    </row>
    <row r="354" spans="1:8" x14ac:dyDescent="0.4">
      <c r="A354" s="29"/>
      <c r="B354" s="29"/>
      <c r="C354" s="29"/>
      <c r="D354" s="29"/>
      <c r="E354" s="30"/>
      <c r="F354" s="29"/>
      <c r="G354" s="31"/>
      <c r="H354" s="29"/>
    </row>
    <row r="355" spans="1:8" x14ac:dyDescent="0.4">
      <c r="A355" s="29"/>
      <c r="B355" s="29"/>
      <c r="C355" s="29"/>
      <c r="D355" s="29"/>
      <c r="E355" s="30"/>
      <c r="F355" s="29"/>
      <c r="G355" s="31"/>
      <c r="H355" s="29"/>
    </row>
    <row r="356" spans="1:8" x14ac:dyDescent="0.4">
      <c r="A356" s="29"/>
      <c r="B356" s="29"/>
      <c r="C356" s="29"/>
      <c r="D356" s="29"/>
      <c r="E356" s="30"/>
      <c r="F356" s="29"/>
      <c r="G356" s="31"/>
      <c r="H356" s="29"/>
    </row>
    <row r="357" spans="1:8" x14ac:dyDescent="0.4">
      <c r="A357" s="29"/>
      <c r="B357" s="29"/>
      <c r="C357" s="29"/>
      <c r="D357" s="29"/>
      <c r="E357" s="30"/>
      <c r="F357" s="29"/>
      <c r="G357" s="31"/>
      <c r="H357" s="29"/>
    </row>
    <row r="358" spans="1:8" x14ac:dyDescent="0.4">
      <c r="A358" s="29"/>
      <c r="B358" s="29"/>
      <c r="C358" s="29"/>
      <c r="D358" s="29"/>
      <c r="E358" s="30"/>
      <c r="F358" s="29"/>
      <c r="G358" s="31"/>
      <c r="H358" s="29"/>
    </row>
    <row r="359" spans="1:8" x14ac:dyDescent="0.4">
      <c r="A359" s="29"/>
      <c r="B359" s="29"/>
      <c r="C359" s="29"/>
      <c r="D359" s="29"/>
      <c r="E359" s="30"/>
      <c r="F359" s="29"/>
      <c r="G359" s="31"/>
      <c r="H359" s="29"/>
    </row>
    <row r="360" spans="1:8" x14ac:dyDescent="0.4">
      <c r="A360" s="29"/>
      <c r="B360" s="29"/>
      <c r="C360" s="29"/>
      <c r="D360" s="29"/>
      <c r="E360" s="30"/>
      <c r="F360" s="29"/>
      <c r="G360" s="31"/>
      <c r="H360" s="29"/>
    </row>
    <row r="361" spans="1:8" x14ac:dyDescent="0.4">
      <c r="A361" s="29"/>
      <c r="B361" s="29"/>
      <c r="C361" s="29"/>
      <c r="D361" s="29"/>
      <c r="E361" s="30"/>
      <c r="F361" s="29"/>
      <c r="G361" s="31"/>
      <c r="H361" s="29"/>
    </row>
    <row r="362" spans="1:8" x14ac:dyDescent="0.4">
      <c r="A362" s="29"/>
      <c r="B362" s="29"/>
      <c r="C362" s="29"/>
      <c r="D362" s="29"/>
      <c r="E362" s="30"/>
      <c r="F362" s="29"/>
      <c r="G362" s="31"/>
      <c r="H362" s="29"/>
    </row>
    <row r="363" spans="1:8" x14ac:dyDescent="0.4">
      <c r="A363" s="29"/>
      <c r="B363" s="29"/>
      <c r="C363" s="29"/>
      <c r="D363" s="29"/>
      <c r="E363" s="30"/>
      <c r="F363" s="29"/>
      <c r="G363" s="31"/>
      <c r="H363" s="29"/>
    </row>
    <row r="364" spans="1:8" x14ac:dyDescent="0.4">
      <c r="A364" s="29"/>
      <c r="B364" s="29"/>
      <c r="C364" s="29"/>
      <c r="D364" s="29"/>
      <c r="E364" s="30"/>
      <c r="F364" s="29"/>
      <c r="G364" s="31"/>
      <c r="H364" s="29"/>
    </row>
    <row r="365" spans="1:8" x14ac:dyDescent="0.4">
      <c r="A365" s="29"/>
      <c r="B365" s="29"/>
      <c r="C365" s="29"/>
      <c r="D365" s="29"/>
      <c r="E365" s="30"/>
      <c r="F365" s="29"/>
      <c r="G365" s="31"/>
      <c r="H365" s="29"/>
    </row>
    <row r="366" spans="1:8" x14ac:dyDescent="0.4">
      <c r="A366" s="29"/>
      <c r="B366" s="29"/>
      <c r="C366" s="29"/>
      <c r="D366" s="29"/>
      <c r="E366" s="30"/>
      <c r="F366" s="29"/>
      <c r="G366" s="31"/>
      <c r="H366" s="29"/>
    </row>
    <row r="367" spans="1:8" x14ac:dyDescent="0.4">
      <c r="A367" s="29"/>
      <c r="B367" s="29"/>
      <c r="C367" s="29"/>
      <c r="D367" s="29"/>
      <c r="E367" s="30"/>
      <c r="F367" s="29"/>
      <c r="G367" s="31"/>
      <c r="H367" s="29"/>
    </row>
    <row r="368" spans="1:8" x14ac:dyDescent="0.4">
      <c r="A368" s="29"/>
      <c r="B368" s="29"/>
      <c r="C368" s="29"/>
      <c r="D368" s="29"/>
      <c r="E368" s="30"/>
      <c r="F368" s="29"/>
      <c r="G368" s="31"/>
      <c r="H368" s="29"/>
    </row>
    <row r="369" spans="1:8" x14ac:dyDescent="0.4">
      <c r="A369" s="29"/>
      <c r="B369" s="29"/>
      <c r="C369" s="29"/>
      <c r="D369" s="29"/>
      <c r="E369" s="30"/>
      <c r="F369" s="29"/>
      <c r="G369" s="31"/>
      <c r="H369" s="29"/>
    </row>
    <row r="370" spans="1:8" x14ac:dyDescent="0.4">
      <c r="A370" s="29"/>
      <c r="B370" s="29"/>
      <c r="C370" s="29"/>
      <c r="D370" s="29"/>
      <c r="E370" s="30"/>
      <c r="F370" s="29"/>
      <c r="G370" s="31"/>
      <c r="H370" s="29"/>
    </row>
    <row r="371" spans="1:8" x14ac:dyDescent="0.4">
      <c r="A371" s="29"/>
      <c r="B371" s="29"/>
      <c r="C371" s="29"/>
      <c r="D371" s="29"/>
      <c r="E371" s="30"/>
      <c r="F371" s="29"/>
      <c r="G371" s="31"/>
      <c r="H371" s="29"/>
    </row>
    <row r="372" spans="1:8" x14ac:dyDescent="0.4">
      <c r="A372" s="29"/>
      <c r="B372" s="29"/>
      <c r="C372" s="29"/>
      <c r="D372" s="29"/>
      <c r="E372" s="30"/>
      <c r="F372" s="29"/>
      <c r="G372" s="31"/>
      <c r="H372" s="29"/>
    </row>
    <row r="373" spans="1:8" x14ac:dyDescent="0.4">
      <c r="A373" s="29"/>
      <c r="B373" s="29"/>
      <c r="C373" s="29"/>
      <c r="D373" s="29"/>
      <c r="E373" s="30"/>
      <c r="F373" s="29"/>
      <c r="G373" s="31"/>
      <c r="H373" s="29"/>
    </row>
    <row r="374" spans="1:8" x14ac:dyDescent="0.4">
      <c r="A374" s="29"/>
      <c r="B374" s="29"/>
      <c r="C374" s="29"/>
      <c r="D374" s="29"/>
      <c r="E374" s="30"/>
      <c r="F374" s="29"/>
      <c r="G374" s="31"/>
      <c r="H374" s="29"/>
    </row>
    <row r="375" spans="1:8" x14ac:dyDescent="0.4">
      <c r="A375" s="29"/>
      <c r="B375" s="29"/>
      <c r="C375" s="29"/>
      <c r="D375" s="29"/>
      <c r="E375" s="30"/>
      <c r="F375" s="29"/>
      <c r="G375" s="31"/>
      <c r="H375" s="29"/>
    </row>
    <row r="376" spans="1:8" x14ac:dyDescent="0.4">
      <c r="A376" s="29"/>
      <c r="B376" s="29"/>
      <c r="C376" s="29"/>
      <c r="D376" s="29"/>
      <c r="E376" s="30"/>
      <c r="F376" s="29"/>
      <c r="G376" s="31"/>
      <c r="H376" s="29"/>
    </row>
    <row r="377" spans="1:8" x14ac:dyDescent="0.4">
      <c r="A377" s="29"/>
      <c r="B377" s="29"/>
      <c r="C377" s="29"/>
      <c r="D377" s="29"/>
      <c r="E377" s="30"/>
      <c r="F377" s="29"/>
      <c r="G377" s="31"/>
      <c r="H377" s="29"/>
    </row>
    <row r="378" spans="1:8" x14ac:dyDescent="0.4">
      <c r="A378" s="29"/>
      <c r="B378" s="29"/>
      <c r="C378" s="29"/>
      <c r="D378" s="29"/>
      <c r="E378" s="30"/>
      <c r="F378" s="29"/>
      <c r="G378" s="31"/>
      <c r="H378" s="29"/>
    </row>
    <row r="379" spans="1:8" x14ac:dyDescent="0.4">
      <c r="A379" s="29"/>
      <c r="B379" s="29"/>
      <c r="C379" s="29"/>
      <c r="D379" s="29"/>
      <c r="E379" s="30"/>
      <c r="F379" s="29"/>
      <c r="G379" s="31"/>
      <c r="H379" s="29"/>
    </row>
    <row r="380" spans="1:8" x14ac:dyDescent="0.4">
      <c r="A380" s="29"/>
      <c r="B380" s="29"/>
      <c r="C380" s="29"/>
      <c r="D380" s="29"/>
      <c r="E380" s="30"/>
      <c r="F380" s="29"/>
      <c r="G380" s="31"/>
      <c r="H380" s="29"/>
    </row>
    <row r="381" spans="1:8" x14ac:dyDescent="0.4">
      <c r="A381" s="29"/>
      <c r="B381" s="29"/>
      <c r="C381" s="29"/>
      <c r="D381" s="29"/>
      <c r="E381" s="30"/>
      <c r="F381" s="29"/>
      <c r="G381" s="31"/>
      <c r="H381" s="29"/>
    </row>
    <row r="382" spans="1:8" x14ac:dyDescent="0.4">
      <c r="A382" s="29"/>
      <c r="B382" s="29"/>
      <c r="C382" s="29"/>
      <c r="D382" s="29"/>
      <c r="E382" s="30"/>
      <c r="F382" s="29"/>
      <c r="G382" s="31"/>
      <c r="H382" s="29"/>
    </row>
    <row r="383" spans="1:8" x14ac:dyDescent="0.4">
      <c r="A383" s="29"/>
      <c r="B383" s="29"/>
      <c r="C383" s="29"/>
      <c r="D383" s="29"/>
      <c r="E383" s="30"/>
      <c r="F383" s="29"/>
      <c r="G383" s="31"/>
      <c r="H383" s="29"/>
    </row>
    <row r="384" spans="1:8" x14ac:dyDescent="0.4">
      <c r="A384" s="29"/>
      <c r="B384" s="29"/>
      <c r="C384" s="29"/>
      <c r="D384" s="29"/>
      <c r="E384" s="30"/>
      <c r="F384" s="29"/>
      <c r="G384" s="31"/>
      <c r="H384" s="29"/>
    </row>
    <row r="385" spans="1:8" x14ac:dyDescent="0.4">
      <c r="A385" s="29"/>
      <c r="B385" s="29"/>
      <c r="C385" s="29"/>
      <c r="D385" s="29"/>
      <c r="E385" s="30"/>
      <c r="F385" s="29"/>
      <c r="G385" s="31"/>
      <c r="H385" s="29"/>
    </row>
    <row r="386" spans="1:8" x14ac:dyDescent="0.4">
      <c r="A386" s="29"/>
      <c r="B386" s="29"/>
      <c r="C386" s="29"/>
      <c r="D386" s="29"/>
      <c r="E386" s="30"/>
      <c r="F386" s="29"/>
      <c r="G386" s="31"/>
      <c r="H386" s="29"/>
    </row>
    <row r="387" spans="1:8" x14ac:dyDescent="0.4">
      <c r="A387" s="29"/>
      <c r="B387" s="29"/>
      <c r="C387" s="29"/>
      <c r="D387" s="29"/>
      <c r="E387" s="30"/>
      <c r="F387" s="29"/>
      <c r="G387" s="31"/>
      <c r="H387" s="29"/>
    </row>
    <row r="388" spans="1:8" x14ac:dyDescent="0.4">
      <c r="A388" s="29"/>
      <c r="B388" s="29"/>
      <c r="C388" s="29"/>
      <c r="D388" s="29"/>
      <c r="E388" s="30"/>
      <c r="F388" s="29"/>
      <c r="G388" s="31"/>
      <c r="H388" s="29"/>
    </row>
    <row r="389" spans="1:8" x14ac:dyDescent="0.4">
      <c r="A389" s="29"/>
      <c r="B389" s="29"/>
      <c r="C389" s="29"/>
      <c r="D389" s="29"/>
      <c r="E389" s="30"/>
      <c r="F389" s="29"/>
      <c r="G389" s="31"/>
      <c r="H389" s="29"/>
    </row>
    <row r="390" spans="1:8" x14ac:dyDescent="0.4">
      <c r="A390" s="29"/>
      <c r="B390" s="29"/>
      <c r="C390" s="29"/>
      <c r="D390" s="29"/>
      <c r="E390" s="30"/>
      <c r="F390" s="29"/>
      <c r="G390" s="31"/>
      <c r="H390" s="29"/>
    </row>
    <row r="391" spans="1:8" x14ac:dyDescent="0.4">
      <c r="A391" s="29"/>
      <c r="B391" s="29"/>
      <c r="C391" s="29"/>
      <c r="D391" s="29"/>
      <c r="E391" s="30"/>
      <c r="F391" s="29"/>
      <c r="G391" s="31"/>
      <c r="H391" s="29"/>
    </row>
    <row r="392" spans="1:8" x14ac:dyDescent="0.4">
      <c r="A392" s="29"/>
      <c r="B392" s="29"/>
      <c r="C392" s="29"/>
      <c r="D392" s="29"/>
      <c r="E392" s="30"/>
      <c r="F392" s="29"/>
      <c r="G392" s="31"/>
      <c r="H392" s="29"/>
    </row>
    <row r="393" spans="1:8" x14ac:dyDescent="0.4">
      <c r="A393" s="29"/>
      <c r="B393" s="29"/>
      <c r="C393" s="29"/>
      <c r="D393" s="29"/>
      <c r="E393" s="30"/>
      <c r="F393" s="29"/>
      <c r="G393" s="31"/>
      <c r="H393" s="29"/>
    </row>
    <row r="394" spans="1:8" x14ac:dyDescent="0.4">
      <c r="A394" s="29"/>
      <c r="B394" s="29"/>
      <c r="C394" s="29"/>
      <c r="D394" s="29"/>
      <c r="E394" s="30"/>
      <c r="F394" s="29"/>
      <c r="G394" s="31"/>
      <c r="H394" s="29"/>
    </row>
    <row r="395" spans="1:8" x14ac:dyDescent="0.4">
      <c r="A395" s="29"/>
      <c r="B395" s="29"/>
      <c r="C395" s="29"/>
      <c r="D395" s="29"/>
      <c r="E395" s="30"/>
      <c r="F395" s="29"/>
      <c r="G395" s="31"/>
      <c r="H395" s="29"/>
    </row>
    <row r="396" spans="1:8" x14ac:dyDescent="0.4">
      <c r="A396" s="29"/>
      <c r="B396" s="29"/>
      <c r="C396" s="29"/>
      <c r="D396" s="29"/>
      <c r="E396" s="30"/>
      <c r="F396" s="29"/>
      <c r="G396" s="31"/>
      <c r="H396" s="29"/>
    </row>
    <row r="397" spans="1:8" x14ac:dyDescent="0.4">
      <c r="A397" s="29"/>
      <c r="B397" s="29"/>
      <c r="C397" s="29"/>
      <c r="D397" s="29"/>
      <c r="E397" s="30"/>
      <c r="F397" s="29"/>
      <c r="G397" s="31"/>
      <c r="H397" s="29"/>
    </row>
    <row r="398" spans="1:8" x14ac:dyDescent="0.4">
      <c r="A398" s="29"/>
      <c r="B398" s="29"/>
      <c r="C398" s="29"/>
      <c r="D398" s="29"/>
      <c r="E398" s="30"/>
      <c r="F398" s="29"/>
      <c r="G398" s="31"/>
      <c r="H398" s="29"/>
    </row>
    <row r="399" spans="1:8" x14ac:dyDescent="0.4">
      <c r="A399" s="29"/>
      <c r="B399" s="29"/>
      <c r="C399" s="29"/>
      <c r="D399" s="29"/>
      <c r="E399" s="30"/>
      <c r="F399" s="29"/>
      <c r="G399" s="31"/>
      <c r="H399" s="29"/>
    </row>
    <row r="400" spans="1:8" x14ac:dyDescent="0.4">
      <c r="A400" s="29"/>
      <c r="B400" s="29"/>
      <c r="C400" s="29"/>
      <c r="D400" s="29"/>
      <c r="E400" s="30"/>
      <c r="F400" s="29"/>
      <c r="G400" s="31"/>
      <c r="H400" s="29"/>
    </row>
    <row r="401" spans="1:8" x14ac:dyDescent="0.4">
      <c r="A401" s="29"/>
      <c r="B401" s="29"/>
      <c r="C401" s="29"/>
      <c r="D401" s="29"/>
      <c r="E401" s="30"/>
      <c r="F401" s="29"/>
      <c r="G401" s="31"/>
      <c r="H401" s="29"/>
    </row>
    <row r="402" spans="1:8" x14ac:dyDescent="0.4">
      <c r="A402" s="29"/>
      <c r="B402" s="29"/>
      <c r="C402" s="29"/>
      <c r="D402" s="29"/>
      <c r="E402" s="30"/>
      <c r="F402" s="29"/>
      <c r="G402" s="31"/>
      <c r="H402" s="29"/>
    </row>
    <row r="403" spans="1:8" x14ac:dyDescent="0.4">
      <c r="A403" s="29"/>
      <c r="B403" s="29"/>
      <c r="C403" s="29"/>
      <c r="D403" s="29"/>
      <c r="E403" s="30"/>
      <c r="F403" s="29"/>
      <c r="G403" s="31"/>
      <c r="H403" s="29"/>
    </row>
    <row r="404" spans="1:8" x14ac:dyDescent="0.4">
      <c r="A404" s="29"/>
      <c r="B404" s="29"/>
      <c r="C404" s="29"/>
      <c r="D404" s="29"/>
      <c r="E404" s="30"/>
      <c r="F404" s="29"/>
      <c r="G404" s="31"/>
      <c r="H404" s="29"/>
    </row>
    <row r="405" spans="1:8" x14ac:dyDescent="0.4">
      <c r="A405" s="29"/>
      <c r="B405" s="29"/>
      <c r="C405" s="29"/>
      <c r="D405" s="29"/>
      <c r="E405" s="30"/>
      <c r="F405" s="29"/>
      <c r="G405" s="31"/>
      <c r="H405" s="29"/>
    </row>
    <row r="406" spans="1:8" x14ac:dyDescent="0.4">
      <c r="A406" s="29"/>
      <c r="B406" s="29"/>
      <c r="C406" s="29"/>
      <c r="D406" s="29"/>
      <c r="E406" s="30"/>
      <c r="F406" s="29"/>
      <c r="G406" s="31"/>
      <c r="H406" s="29"/>
    </row>
    <row r="407" spans="1:8" x14ac:dyDescent="0.4">
      <c r="A407" s="29"/>
      <c r="B407" s="29"/>
      <c r="C407" s="29"/>
      <c r="D407" s="29"/>
      <c r="E407" s="30"/>
      <c r="F407" s="29"/>
      <c r="G407" s="31"/>
      <c r="H407" s="29"/>
    </row>
    <row r="408" spans="1:8" x14ac:dyDescent="0.4">
      <c r="A408" s="29"/>
      <c r="B408" s="29"/>
      <c r="C408" s="29"/>
      <c r="D408" s="29"/>
      <c r="E408" s="30"/>
      <c r="F408" s="29"/>
      <c r="G408" s="31"/>
      <c r="H408" s="29"/>
    </row>
    <row r="409" spans="1:8" x14ac:dyDescent="0.4">
      <c r="A409" s="29"/>
      <c r="B409" s="29"/>
      <c r="C409" s="29"/>
      <c r="D409" s="29"/>
      <c r="E409" s="30"/>
      <c r="F409" s="29"/>
      <c r="G409" s="31"/>
      <c r="H409" s="29"/>
    </row>
    <row r="410" spans="1:8" x14ac:dyDescent="0.4">
      <c r="A410" s="29"/>
      <c r="B410" s="29"/>
      <c r="C410" s="29"/>
      <c r="D410" s="29"/>
      <c r="E410" s="30"/>
      <c r="F410" s="29"/>
      <c r="G410" s="31"/>
      <c r="H410" s="29"/>
    </row>
    <row r="411" spans="1:8" x14ac:dyDescent="0.4">
      <c r="A411" s="29"/>
      <c r="B411" s="29"/>
      <c r="C411" s="29"/>
      <c r="D411" s="29"/>
      <c r="E411" s="30"/>
      <c r="F411" s="29"/>
      <c r="G411" s="31"/>
      <c r="H411" s="29"/>
    </row>
    <row r="412" spans="1:8" x14ac:dyDescent="0.4">
      <c r="A412" s="29"/>
      <c r="B412" s="29"/>
      <c r="C412" s="29"/>
      <c r="D412" s="29"/>
      <c r="E412" s="30"/>
      <c r="F412" s="29"/>
      <c r="G412" s="31"/>
      <c r="H412" s="29"/>
    </row>
    <row r="413" spans="1:8" x14ac:dyDescent="0.4">
      <c r="A413" s="29"/>
      <c r="B413" s="29"/>
      <c r="C413" s="29"/>
      <c r="D413" s="29"/>
      <c r="E413" s="30"/>
      <c r="F413" s="29"/>
      <c r="G413" s="31"/>
      <c r="H413" s="29"/>
    </row>
    <row r="414" spans="1:8" x14ac:dyDescent="0.4">
      <c r="A414" s="29"/>
      <c r="B414" s="29"/>
      <c r="C414" s="29"/>
      <c r="D414" s="29"/>
      <c r="E414" s="30"/>
      <c r="F414" s="29"/>
      <c r="G414" s="31"/>
      <c r="H414" s="29"/>
    </row>
    <row r="415" spans="1:8" x14ac:dyDescent="0.4">
      <c r="A415" s="29"/>
      <c r="B415" s="29"/>
      <c r="C415" s="29"/>
      <c r="D415" s="29"/>
      <c r="E415" s="30"/>
      <c r="F415" s="29"/>
      <c r="G415" s="31"/>
      <c r="H415" s="29"/>
    </row>
    <row r="416" spans="1:8" x14ac:dyDescent="0.4">
      <c r="A416" s="29"/>
      <c r="B416" s="29"/>
      <c r="C416" s="29"/>
      <c r="D416" s="29"/>
      <c r="E416" s="30"/>
      <c r="F416" s="29"/>
      <c r="G416" s="31"/>
      <c r="H416" s="29"/>
    </row>
    <row r="417" spans="1:8" x14ac:dyDescent="0.4">
      <c r="A417" s="29"/>
      <c r="B417" s="29"/>
      <c r="C417" s="29"/>
      <c r="D417" s="29"/>
      <c r="E417" s="30"/>
      <c r="F417" s="29"/>
      <c r="G417" s="31"/>
      <c r="H417" s="29"/>
    </row>
    <row r="418" spans="1:8" x14ac:dyDescent="0.4">
      <c r="A418" s="29"/>
      <c r="B418" s="29"/>
      <c r="C418" s="29"/>
      <c r="D418" s="29"/>
      <c r="E418" s="30"/>
      <c r="F418" s="29"/>
      <c r="G418" s="31"/>
      <c r="H418" s="29"/>
    </row>
    <row r="419" spans="1:8" x14ac:dyDescent="0.4">
      <c r="A419" s="29"/>
      <c r="B419" s="29"/>
      <c r="C419" s="29"/>
      <c r="D419" s="29"/>
      <c r="E419" s="30"/>
      <c r="F419" s="29"/>
      <c r="G419" s="31"/>
      <c r="H419" s="29"/>
    </row>
    <row r="420" spans="1:8" x14ac:dyDescent="0.4">
      <c r="A420" s="29"/>
      <c r="B420" s="29"/>
      <c r="C420" s="29"/>
      <c r="D420" s="29"/>
      <c r="E420" s="30"/>
      <c r="F420" s="29"/>
      <c r="G420" s="31"/>
      <c r="H420" s="29"/>
    </row>
    <row r="421" spans="1:8" x14ac:dyDescent="0.4">
      <c r="A421" s="29"/>
      <c r="B421" s="29"/>
      <c r="C421" s="29"/>
      <c r="D421" s="29"/>
      <c r="E421" s="30"/>
      <c r="F421" s="29"/>
      <c r="G421" s="31"/>
      <c r="H421" s="29"/>
    </row>
    <row r="422" spans="1:8" x14ac:dyDescent="0.4">
      <c r="A422" s="29"/>
      <c r="B422" s="29"/>
      <c r="C422" s="29"/>
      <c r="D422" s="29"/>
      <c r="E422" s="30"/>
      <c r="F422" s="29"/>
      <c r="G422" s="31"/>
      <c r="H422" s="29"/>
    </row>
    <row r="423" spans="1:8" x14ac:dyDescent="0.4">
      <c r="A423" s="29"/>
      <c r="B423" s="29"/>
      <c r="C423" s="29"/>
      <c r="D423" s="29"/>
      <c r="E423" s="30"/>
      <c r="F423" s="29"/>
      <c r="G423" s="31"/>
      <c r="H423" s="29"/>
    </row>
    <row r="424" spans="1:8" x14ac:dyDescent="0.4">
      <c r="A424" s="29"/>
      <c r="B424" s="29"/>
      <c r="C424" s="29"/>
      <c r="D424" s="29"/>
      <c r="E424" s="30"/>
      <c r="F424" s="29"/>
      <c r="G424" s="31"/>
      <c r="H424" s="29"/>
    </row>
    <row r="425" spans="1:8" x14ac:dyDescent="0.4">
      <c r="A425" s="29"/>
      <c r="B425" s="29"/>
      <c r="C425" s="29"/>
      <c r="D425" s="29"/>
      <c r="E425" s="30"/>
      <c r="F425" s="29"/>
      <c r="G425" s="31"/>
      <c r="H425" s="29"/>
    </row>
    <row r="426" spans="1:8" x14ac:dyDescent="0.4">
      <c r="A426" s="29"/>
      <c r="B426" s="29"/>
      <c r="C426" s="29"/>
      <c r="D426" s="29"/>
      <c r="E426" s="30"/>
      <c r="F426" s="29"/>
      <c r="G426" s="31"/>
      <c r="H426" s="29"/>
    </row>
    <row r="427" spans="1:8" x14ac:dyDescent="0.4">
      <c r="A427" s="29"/>
      <c r="B427" s="29"/>
      <c r="C427" s="29"/>
      <c r="D427" s="29"/>
      <c r="E427" s="30"/>
      <c r="F427" s="29"/>
      <c r="G427" s="31"/>
      <c r="H427" s="29"/>
    </row>
    <row r="428" spans="1:8" x14ac:dyDescent="0.4">
      <c r="A428" s="29"/>
      <c r="B428" s="29"/>
      <c r="C428" s="29"/>
      <c r="D428" s="29"/>
      <c r="E428" s="30"/>
      <c r="F428" s="29"/>
      <c r="G428" s="31"/>
      <c r="H428" s="29"/>
    </row>
    <row r="429" spans="1:8" x14ac:dyDescent="0.4">
      <c r="A429" s="29"/>
      <c r="B429" s="29"/>
      <c r="C429" s="29"/>
      <c r="D429" s="29"/>
      <c r="E429" s="30"/>
      <c r="F429" s="29"/>
      <c r="G429" s="31"/>
      <c r="H429" s="29"/>
    </row>
    <row r="430" spans="1:8" x14ac:dyDescent="0.4">
      <c r="A430" s="29"/>
      <c r="B430" s="29"/>
      <c r="C430" s="29"/>
      <c r="D430" s="29"/>
      <c r="E430" s="30"/>
      <c r="F430" s="29"/>
      <c r="G430" s="31"/>
      <c r="H430" s="29"/>
    </row>
    <row r="431" spans="1:8" x14ac:dyDescent="0.4">
      <c r="A431" s="29"/>
      <c r="B431" s="29"/>
      <c r="C431" s="29"/>
      <c r="D431" s="29"/>
      <c r="E431" s="30"/>
      <c r="F431" s="29"/>
      <c r="G431" s="31"/>
      <c r="H431" s="29"/>
    </row>
    <row r="432" spans="1:8" x14ac:dyDescent="0.4">
      <c r="A432" s="29"/>
      <c r="B432" s="29"/>
      <c r="C432" s="29"/>
      <c r="D432" s="29"/>
      <c r="E432" s="30"/>
      <c r="F432" s="29"/>
      <c r="G432" s="31"/>
      <c r="H432" s="29"/>
    </row>
    <row r="433" spans="1:8" x14ac:dyDescent="0.4">
      <c r="A433" s="29"/>
      <c r="B433" s="29"/>
      <c r="C433" s="29"/>
      <c r="D433" s="29"/>
      <c r="E433" s="30"/>
      <c r="F433" s="29"/>
      <c r="G433" s="31"/>
      <c r="H433" s="29"/>
    </row>
    <row r="434" spans="1:8" x14ac:dyDescent="0.4">
      <c r="A434" s="29"/>
      <c r="B434" s="29"/>
      <c r="C434" s="29"/>
      <c r="D434" s="29"/>
      <c r="E434" s="30"/>
      <c r="F434" s="29"/>
      <c r="G434" s="31"/>
      <c r="H434" s="29"/>
    </row>
    <row r="435" spans="1:8" x14ac:dyDescent="0.4">
      <c r="A435" s="29"/>
      <c r="B435" s="29"/>
      <c r="C435" s="29"/>
      <c r="D435" s="29"/>
      <c r="E435" s="30"/>
      <c r="F435" s="29"/>
      <c r="G435" s="31"/>
      <c r="H435" s="29"/>
    </row>
    <row r="436" spans="1:8" x14ac:dyDescent="0.4">
      <c r="A436" s="29"/>
      <c r="B436" s="29"/>
      <c r="C436" s="29"/>
      <c r="D436" s="29"/>
      <c r="E436" s="30"/>
      <c r="F436" s="29"/>
      <c r="G436" s="31"/>
      <c r="H436" s="29"/>
    </row>
    <row r="437" spans="1:8" x14ac:dyDescent="0.4">
      <c r="A437" s="29"/>
      <c r="B437" s="29"/>
      <c r="C437" s="29"/>
      <c r="D437" s="29"/>
      <c r="E437" s="30"/>
      <c r="F437" s="29"/>
      <c r="G437" s="31"/>
      <c r="H437" s="29"/>
    </row>
    <row r="438" spans="1:8" x14ac:dyDescent="0.4">
      <c r="A438" s="29"/>
      <c r="B438" s="29"/>
      <c r="C438" s="29"/>
      <c r="D438" s="29"/>
      <c r="E438" s="30"/>
      <c r="F438" s="29"/>
      <c r="G438" s="31"/>
      <c r="H438" s="29"/>
    </row>
    <row r="439" spans="1:8" x14ac:dyDescent="0.4">
      <c r="A439" s="29"/>
      <c r="B439" s="29"/>
      <c r="C439" s="29"/>
      <c r="D439" s="29"/>
      <c r="E439" s="30"/>
      <c r="F439" s="29"/>
      <c r="G439" s="31"/>
      <c r="H439" s="29"/>
    </row>
    <row r="440" spans="1:8" x14ac:dyDescent="0.4">
      <c r="A440" s="29"/>
      <c r="B440" s="29"/>
      <c r="C440" s="29"/>
      <c r="D440" s="29"/>
      <c r="E440" s="30"/>
      <c r="F440" s="29"/>
      <c r="G440" s="31"/>
      <c r="H440" s="29"/>
    </row>
    <row r="441" spans="1:8" x14ac:dyDescent="0.4">
      <c r="A441" s="29"/>
      <c r="B441" s="29"/>
      <c r="C441" s="29"/>
      <c r="D441" s="29"/>
      <c r="E441" s="30"/>
      <c r="F441" s="29"/>
      <c r="G441" s="31"/>
      <c r="H441" s="29"/>
    </row>
    <row r="442" spans="1:8" x14ac:dyDescent="0.4">
      <c r="A442" s="29"/>
      <c r="B442" s="29"/>
      <c r="C442" s="29"/>
      <c r="D442" s="29"/>
      <c r="E442" s="30"/>
      <c r="F442" s="29"/>
      <c r="G442" s="31"/>
      <c r="H442" s="29"/>
    </row>
    <row r="443" spans="1:8" x14ac:dyDescent="0.4">
      <c r="A443" s="29"/>
      <c r="B443" s="29"/>
      <c r="C443" s="29"/>
      <c r="D443" s="29"/>
      <c r="E443" s="30"/>
      <c r="F443" s="29"/>
      <c r="G443" s="31"/>
      <c r="H443" s="29"/>
    </row>
    <row r="444" spans="1:8" x14ac:dyDescent="0.4">
      <c r="A444" s="29"/>
      <c r="B444" s="29"/>
      <c r="C444" s="29"/>
      <c r="D444" s="29"/>
      <c r="E444" s="30"/>
      <c r="F444" s="29"/>
      <c r="G444" s="31"/>
      <c r="H444" s="29"/>
    </row>
    <row r="445" spans="1:8" x14ac:dyDescent="0.4">
      <c r="A445" s="29"/>
      <c r="B445" s="29"/>
      <c r="C445" s="29"/>
      <c r="D445" s="29"/>
      <c r="E445" s="30"/>
      <c r="F445" s="29"/>
      <c r="G445" s="31"/>
      <c r="H445" s="29"/>
    </row>
    <row r="446" spans="1:8" x14ac:dyDescent="0.4">
      <c r="A446" s="29"/>
      <c r="B446" s="29"/>
      <c r="C446" s="29"/>
      <c r="D446" s="29"/>
      <c r="E446" s="30"/>
      <c r="F446" s="29"/>
      <c r="G446" s="31"/>
      <c r="H446" s="29"/>
    </row>
    <row r="447" spans="1:8" x14ac:dyDescent="0.4">
      <c r="A447" s="29"/>
      <c r="B447" s="29"/>
      <c r="C447" s="29"/>
      <c r="D447" s="29"/>
      <c r="E447" s="30"/>
      <c r="F447" s="29"/>
      <c r="G447" s="31"/>
      <c r="H447" s="29"/>
    </row>
    <row r="448" spans="1:8" x14ac:dyDescent="0.4">
      <c r="A448" s="29"/>
      <c r="B448" s="29"/>
      <c r="C448" s="29"/>
      <c r="D448" s="29"/>
      <c r="E448" s="30"/>
      <c r="F448" s="29"/>
      <c r="G448" s="31"/>
      <c r="H448" s="29"/>
    </row>
    <row r="449" spans="1:8" x14ac:dyDescent="0.4">
      <c r="A449" s="29"/>
      <c r="B449" s="29"/>
      <c r="C449" s="29"/>
      <c r="D449" s="29"/>
      <c r="E449" s="30"/>
      <c r="F449" s="29"/>
      <c r="G449" s="31"/>
      <c r="H449" s="29"/>
    </row>
    <row r="450" spans="1:8" x14ac:dyDescent="0.4">
      <c r="A450" s="29"/>
      <c r="B450" s="29"/>
      <c r="C450" s="29"/>
      <c r="D450" s="29"/>
      <c r="E450" s="30"/>
      <c r="F450" s="29"/>
      <c r="G450" s="31"/>
      <c r="H450" s="29"/>
    </row>
    <row r="451" spans="1:8" x14ac:dyDescent="0.4">
      <c r="A451" s="29"/>
      <c r="B451" s="29"/>
      <c r="C451" s="29"/>
      <c r="D451" s="29"/>
      <c r="E451" s="30"/>
      <c r="F451" s="29"/>
      <c r="G451" s="31"/>
      <c r="H451" s="29"/>
    </row>
    <row r="452" spans="1:8" x14ac:dyDescent="0.4">
      <c r="A452" s="29"/>
      <c r="B452" s="29"/>
      <c r="C452" s="29"/>
      <c r="D452" s="29"/>
      <c r="E452" s="30"/>
      <c r="F452" s="29"/>
      <c r="G452" s="31"/>
      <c r="H452" s="29"/>
    </row>
    <row r="453" spans="1:8" x14ac:dyDescent="0.4">
      <c r="A453" s="29"/>
      <c r="B453" s="29"/>
      <c r="C453" s="29"/>
      <c r="D453" s="29"/>
      <c r="E453" s="30"/>
      <c r="F453" s="29"/>
      <c r="G453" s="31"/>
      <c r="H453" s="29"/>
    </row>
    <row r="454" spans="1:8" x14ac:dyDescent="0.4">
      <c r="A454" s="29"/>
      <c r="B454" s="29"/>
      <c r="C454" s="29"/>
      <c r="D454" s="29"/>
      <c r="E454" s="30"/>
      <c r="F454" s="29"/>
      <c r="G454" s="31"/>
      <c r="H454" s="29"/>
    </row>
    <row r="455" spans="1:8" x14ac:dyDescent="0.4">
      <c r="A455" s="29"/>
      <c r="B455" s="29"/>
      <c r="C455" s="29"/>
      <c r="D455" s="29"/>
      <c r="E455" s="30"/>
      <c r="F455" s="29"/>
      <c r="G455" s="31"/>
      <c r="H455" s="29"/>
    </row>
    <row r="456" spans="1:8" x14ac:dyDescent="0.4">
      <c r="A456" s="29"/>
      <c r="B456" s="29"/>
      <c r="C456" s="29"/>
      <c r="D456" s="29"/>
      <c r="E456" s="30"/>
      <c r="F456" s="29"/>
      <c r="G456" s="31"/>
      <c r="H456" s="29"/>
    </row>
    <row r="457" spans="1:8" x14ac:dyDescent="0.4">
      <c r="A457" s="29"/>
      <c r="B457" s="29"/>
      <c r="C457" s="29"/>
      <c r="D457" s="29"/>
      <c r="E457" s="30"/>
      <c r="F457" s="29"/>
      <c r="G457" s="31"/>
      <c r="H457" s="29"/>
    </row>
    <row r="458" spans="1:8" x14ac:dyDescent="0.4">
      <c r="A458" s="29"/>
      <c r="B458" s="29"/>
      <c r="C458" s="29"/>
      <c r="D458" s="29"/>
      <c r="E458" s="30"/>
      <c r="F458" s="29"/>
      <c r="G458" s="31"/>
      <c r="H458" s="29"/>
    </row>
    <row r="459" spans="1:8" x14ac:dyDescent="0.4">
      <c r="A459" s="29"/>
      <c r="B459" s="29"/>
      <c r="C459" s="29"/>
      <c r="D459" s="29"/>
      <c r="E459" s="30"/>
      <c r="F459" s="29"/>
      <c r="G459" s="31"/>
      <c r="H459" s="29"/>
    </row>
    <row r="460" spans="1:8" x14ac:dyDescent="0.4">
      <c r="A460" s="29"/>
      <c r="B460" s="29"/>
      <c r="C460" s="29"/>
      <c r="D460" s="29"/>
      <c r="E460" s="30"/>
      <c r="F460" s="29"/>
      <c r="G460" s="31"/>
      <c r="H460" s="29"/>
    </row>
    <row r="461" spans="1:8" x14ac:dyDescent="0.4">
      <c r="A461" s="29"/>
      <c r="B461" s="29"/>
      <c r="C461" s="29"/>
      <c r="D461" s="29"/>
      <c r="E461" s="30"/>
      <c r="F461" s="29"/>
      <c r="G461" s="31"/>
      <c r="H461" s="29"/>
    </row>
    <row r="462" spans="1:8" x14ac:dyDescent="0.4">
      <c r="A462" s="29"/>
      <c r="B462" s="29"/>
      <c r="C462" s="29"/>
      <c r="D462" s="29"/>
      <c r="E462" s="30"/>
      <c r="F462" s="29"/>
      <c r="G462" s="31"/>
      <c r="H462" s="29"/>
    </row>
    <row r="463" spans="1:8" x14ac:dyDescent="0.4">
      <c r="A463" s="29"/>
      <c r="B463" s="29"/>
      <c r="C463" s="29"/>
      <c r="D463" s="29"/>
      <c r="E463" s="30"/>
      <c r="F463" s="29"/>
      <c r="G463" s="31"/>
      <c r="H463" s="29"/>
    </row>
    <row r="464" spans="1:8" x14ac:dyDescent="0.4">
      <c r="A464" s="29"/>
      <c r="B464" s="29"/>
      <c r="C464" s="29"/>
      <c r="D464" s="29"/>
      <c r="E464" s="30"/>
      <c r="F464" s="29"/>
      <c r="G464" s="31"/>
      <c r="H464" s="29"/>
    </row>
    <row r="465" spans="1:8" x14ac:dyDescent="0.4">
      <c r="A465" s="29"/>
      <c r="B465" s="29"/>
      <c r="C465" s="29"/>
      <c r="D465" s="29"/>
      <c r="E465" s="30"/>
      <c r="F465" s="29"/>
      <c r="G465" s="31"/>
      <c r="H465" s="29"/>
    </row>
    <row r="466" spans="1:8" x14ac:dyDescent="0.4">
      <c r="A466" s="29"/>
      <c r="B466" s="29"/>
      <c r="C466" s="29"/>
      <c r="D466" s="29"/>
      <c r="E466" s="30"/>
      <c r="F466" s="29"/>
      <c r="G466" s="31"/>
      <c r="H466" s="29"/>
    </row>
    <row r="467" spans="1:8" x14ac:dyDescent="0.4">
      <c r="A467" s="29"/>
      <c r="B467" s="29"/>
      <c r="C467" s="29"/>
      <c r="D467" s="29"/>
      <c r="E467" s="30"/>
      <c r="F467" s="29"/>
      <c r="G467" s="31"/>
      <c r="H467" s="29"/>
    </row>
    <row r="468" spans="1:8" x14ac:dyDescent="0.4">
      <c r="A468" s="29"/>
      <c r="B468" s="29"/>
      <c r="C468" s="29"/>
      <c r="D468" s="29"/>
      <c r="E468" s="30"/>
      <c r="F468" s="29"/>
      <c r="G468" s="31"/>
      <c r="H468" s="29"/>
    </row>
    <row r="469" spans="1:8" x14ac:dyDescent="0.4">
      <c r="A469" s="29"/>
      <c r="B469" s="29"/>
      <c r="C469" s="29"/>
      <c r="D469" s="29"/>
      <c r="E469" s="30"/>
      <c r="F469" s="29"/>
      <c r="G469" s="31"/>
      <c r="H469" s="29"/>
    </row>
    <row r="470" spans="1:8" x14ac:dyDescent="0.4">
      <c r="A470" s="29"/>
      <c r="B470" s="29"/>
      <c r="C470" s="29"/>
      <c r="D470" s="29"/>
      <c r="E470" s="30"/>
      <c r="F470" s="29"/>
      <c r="G470" s="31"/>
      <c r="H470" s="29"/>
    </row>
    <row r="471" spans="1:8" x14ac:dyDescent="0.4">
      <c r="A471" s="29"/>
      <c r="B471" s="29"/>
      <c r="C471" s="29"/>
      <c r="D471" s="29"/>
      <c r="E471" s="30"/>
      <c r="F471" s="29"/>
      <c r="G471" s="31"/>
      <c r="H471" s="29"/>
    </row>
    <row r="472" spans="1:8" x14ac:dyDescent="0.4">
      <c r="A472" s="29"/>
      <c r="B472" s="29"/>
      <c r="C472" s="29"/>
      <c r="D472" s="29"/>
      <c r="E472" s="30"/>
      <c r="F472" s="29"/>
      <c r="G472" s="31"/>
      <c r="H472" s="29"/>
    </row>
    <row r="473" spans="1:8" x14ac:dyDescent="0.4">
      <c r="A473" s="29"/>
      <c r="B473" s="29"/>
      <c r="C473" s="29"/>
      <c r="D473" s="29"/>
      <c r="E473" s="30"/>
      <c r="F473" s="29"/>
      <c r="G473" s="31"/>
      <c r="H473" s="29"/>
    </row>
    <row r="474" spans="1:8" x14ac:dyDescent="0.4">
      <c r="A474" s="29"/>
      <c r="B474" s="29"/>
      <c r="C474" s="29"/>
      <c r="D474" s="29"/>
      <c r="E474" s="30"/>
      <c r="F474" s="29"/>
      <c r="G474" s="31"/>
      <c r="H474" s="29"/>
    </row>
    <row r="475" spans="1:8" x14ac:dyDescent="0.4">
      <c r="A475" s="29"/>
      <c r="B475" s="29"/>
      <c r="C475" s="29"/>
      <c r="D475" s="29"/>
      <c r="E475" s="30"/>
      <c r="F475" s="29"/>
      <c r="G475" s="31"/>
      <c r="H475" s="29"/>
    </row>
    <row r="476" spans="1:8" x14ac:dyDescent="0.4">
      <c r="A476" s="29"/>
      <c r="B476" s="29"/>
      <c r="C476" s="29"/>
      <c r="D476" s="29"/>
      <c r="E476" s="30"/>
      <c r="F476" s="29"/>
      <c r="G476" s="31"/>
      <c r="H476" s="29"/>
    </row>
    <row r="477" spans="1:8" x14ac:dyDescent="0.4">
      <c r="A477" s="29"/>
      <c r="B477" s="29"/>
      <c r="C477" s="29"/>
      <c r="D477" s="29"/>
      <c r="E477" s="30"/>
      <c r="F477" s="29"/>
      <c r="G477" s="31"/>
      <c r="H477" s="29"/>
    </row>
    <row r="478" spans="1:8" x14ac:dyDescent="0.4">
      <c r="A478" s="29"/>
      <c r="B478" s="29"/>
      <c r="C478" s="29"/>
      <c r="D478" s="29"/>
      <c r="E478" s="30"/>
      <c r="F478" s="29"/>
      <c r="G478" s="31"/>
      <c r="H478" s="29"/>
    </row>
    <row r="479" spans="1:8" x14ac:dyDescent="0.4">
      <c r="A479" s="29"/>
      <c r="B479" s="29"/>
      <c r="C479" s="29"/>
      <c r="D479" s="29"/>
      <c r="E479" s="30"/>
      <c r="F479" s="29"/>
      <c r="G479" s="31"/>
      <c r="H479" s="29"/>
    </row>
    <row r="480" spans="1:8" x14ac:dyDescent="0.4">
      <c r="A480" s="29"/>
      <c r="B480" s="29"/>
      <c r="C480" s="29"/>
      <c r="D480" s="29"/>
      <c r="E480" s="30"/>
      <c r="F480" s="29"/>
      <c r="G480" s="31"/>
      <c r="H480" s="29"/>
    </row>
    <row r="481" spans="1:8" x14ac:dyDescent="0.4">
      <c r="A481" s="29"/>
      <c r="B481" s="29"/>
      <c r="C481" s="29"/>
      <c r="D481" s="29"/>
      <c r="E481" s="30"/>
      <c r="F481" s="29"/>
      <c r="G481" s="31"/>
      <c r="H481" s="29"/>
    </row>
    <row r="482" spans="1:8" x14ac:dyDescent="0.4">
      <c r="A482" s="29"/>
      <c r="B482" s="29"/>
      <c r="C482" s="29"/>
      <c r="D482" s="29"/>
      <c r="E482" s="30"/>
      <c r="F482" s="29"/>
      <c r="G482" s="31"/>
      <c r="H482" s="29"/>
    </row>
    <row r="483" spans="1:8" x14ac:dyDescent="0.4">
      <c r="A483" s="29"/>
      <c r="B483" s="29"/>
      <c r="C483" s="29"/>
      <c r="D483" s="29"/>
      <c r="E483" s="30"/>
      <c r="F483" s="29"/>
      <c r="G483" s="31"/>
      <c r="H483" s="29"/>
    </row>
    <row r="484" spans="1:8" x14ac:dyDescent="0.4">
      <c r="A484" s="29"/>
      <c r="B484" s="29"/>
      <c r="C484" s="29"/>
      <c r="D484" s="29"/>
      <c r="E484" s="30"/>
      <c r="F484" s="29"/>
      <c r="G484" s="31"/>
      <c r="H484" s="29"/>
    </row>
    <row r="485" spans="1:8" x14ac:dyDescent="0.4">
      <c r="A485" s="29"/>
      <c r="B485" s="29"/>
      <c r="C485" s="29"/>
      <c r="D485" s="29"/>
      <c r="E485" s="30"/>
      <c r="F485" s="29"/>
      <c r="G485" s="31"/>
      <c r="H485" s="29"/>
    </row>
    <row r="486" spans="1:8" x14ac:dyDescent="0.4">
      <c r="A486" s="29"/>
      <c r="B486" s="29"/>
      <c r="C486" s="29"/>
      <c r="D486" s="29"/>
      <c r="E486" s="30"/>
      <c r="F486" s="29"/>
      <c r="G486" s="31"/>
      <c r="H486" s="29"/>
    </row>
    <row r="487" spans="1:8" x14ac:dyDescent="0.4">
      <c r="A487" s="29"/>
      <c r="B487" s="29"/>
      <c r="C487" s="29"/>
      <c r="D487" s="29"/>
      <c r="E487" s="30"/>
      <c r="F487" s="29"/>
      <c r="G487" s="31"/>
      <c r="H487" s="29"/>
    </row>
    <row r="488" spans="1:8" x14ac:dyDescent="0.4">
      <c r="A488" s="29"/>
      <c r="B488" s="29"/>
      <c r="C488" s="29"/>
      <c r="D488" s="29"/>
      <c r="E488" s="30"/>
      <c r="F488" s="29"/>
      <c r="G488" s="31"/>
      <c r="H488" s="29"/>
    </row>
    <row r="489" spans="1:8" x14ac:dyDescent="0.4">
      <c r="A489" s="29"/>
      <c r="B489" s="29"/>
      <c r="C489" s="29"/>
      <c r="D489" s="29"/>
      <c r="E489" s="30"/>
      <c r="F489" s="29"/>
      <c r="G489" s="31"/>
      <c r="H489" s="29"/>
    </row>
    <row r="490" spans="1:8" x14ac:dyDescent="0.4">
      <c r="A490" s="29"/>
      <c r="B490" s="29"/>
      <c r="C490" s="29"/>
      <c r="D490" s="29"/>
      <c r="E490" s="30"/>
      <c r="F490" s="29"/>
      <c r="G490" s="31"/>
      <c r="H490" s="29"/>
    </row>
    <row r="491" spans="1:8" x14ac:dyDescent="0.4">
      <c r="A491" s="29"/>
      <c r="B491" s="29"/>
      <c r="C491" s="29"/>
      <c r="D491" s="29"/>
      <c r="E491" s="30"/>
      <c r="F491" s="29"/>
      <c r="G491" s="31"/>
      <c r="H491" s="29"/>
    </row>
    <row r="492" spans="1:8" x14ac:dyDescent="0.4">
      <c r="A492" s="29"/>
      <c r="B492" s="29"/>
      <c r="C492" s="29"/>
      <c r="D492" s="29"/>
      <c r="E492" s="30"/>
      <c r="F492" s="29"/>
      <c r="G492" s="31"/>
      <c r="H492" s="29"/>
    </row>
    <row r="493" spans="1:8" x14ac:dyDescent="0.4">
      <c r="A493" s="29"/>
      <c r="B493" s="29"/>
      <c r="C493" s="29"/>
      <c r="D493" s="29"/>
      <c r="E493" s="30"/>
      <c r="F493" s="29"/>
      <c r="G493" s="31"/>
      <c r="H493" s="29"/>
    </row>
    <row r="494" spans="1:8" x14ac:dyDescent="0.4">
      <c r="A494" s="29"/>
      <c r="B494" s="29"/>
      <c r="C494" s="29"/>
      <c r="D494" s="29"/>
      <c r="E494" s="30"/>
      <c r="F494" s="29"/>
      <c r="G494" s="31"/>
      <c r="H494" s="29"/>
    </row>
    <row r="495" spans="1:8" x14ac:dyDescent="0.4">
      <c r="A495" s="29"/>
      <c r="B495" s="29"/>
      <c r="C495" s="29"/>
      <c r="D495" s="29"/>
      <c r="E495" s="30"/>
      <c r="F495" s="29"/>
      <c r="G495" s="31"/>
      <c r="H495" s="29"/>
    </row>
    <row r="496" spans="1:8" x14ac:dyDescent="0.4">
      <c r="A496" s="29"/>
      <c r="B496" s="29"/>
      <c r="C496" s="29"/>
      <c r="D496" s="29"/>
      <c r="E496" s="30"/>
      <c r="F496" s="29"/>
      <c r="G496" s="31"/>
      <c r="H496" s="29"/>
    </row>
    <row r="497" spans="1:8" x14ac:dyDescent="0.4">
      <c r="A497" s="29"/>
      <c r="B497" s="29"/>
      <c r="C497" s="29"/>
      <c r="D497" s="29"/>
      <c r="E497" s="30"/>
      <c r="F497" s="29"/>
      <c r="G497" s="31"/>
      <c r="H497" s="29"/>
    </row>
    <row r="498" spans="1:8" x14ac:dyDescent="0.4">
      <c r="A498" s="29"/>
      <c r="B498" s="29"/>
      <c r="C498" s="29"/>
      <c r="D498" s="29"/>
      <c r="E498" s="30"/>
      <c r="F498" s="29"/>
      <c r="G498" s="31"/>
      <c r="H498" s="29"/>
    </row>
    <row r="499" spans="1:8" x14ac:dyDescent="0.4">
      <c r="A499" s="29"/>
      <c r="B499" s="29"/>
      <c r="C499" s="29"/>
      <c r="D499" s="29"/>
      <c r="E499" s="30"/>
      <c r="F499" s="29"/>
      <c r="G499" s="31"/>
      <c r="H499" s="29"/>
    </row>
    <row r="500" spans="1:8" x14ac:dyDescent="0.4">
      <c r="A500" s="29"/>
      <c r="B500" s="29"/>
      <c r="C500" s="29"/>
      <c r="D500" s="29"/>
      <c r="E500" s="30"/>
      <c r="F500" s="29"/>
      <c r="G500" s="31"/>
      <c r="H500" s="29"/>
    </row>
    <row r="501" spans="1:8" x14ac:dyDescent="0.4">
      <c r="A501" s="29"/>
      <c r="B501" s="29"/>
      <c r="C501" s="29"/>
      <c r="D501" s="29"/>
      <c r="E501" s="30"/>
      <c r="F501" s="29"/>
      <c r="G501" s="31"/>
      <c r="H501" s="2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영어 단어장</vt:lpstr>
      <vt:lpstr>단어 시험장</vt:lpstr>
      <vt:lpstr>부사절 접속사 정리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상헌 권</dc:creator>
  <cp:lastModifiedBy>상헌 권</cp:lastModifiedBy>
  <dcterms:created xsi:type="dcterms:W3CDTF">2026-03-22T04:58:48Z</dcterms:created>
  <dcterms:modified xsi:type="dcterms:W3CDTF">2026-04-09T08:25:43Z</dcterms:modified>
</cp:coreProperties>
</file>